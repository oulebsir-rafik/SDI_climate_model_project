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all_value_process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<sst xmlns="http://schemas.openxmlformats.org/spreadsheetml/2006/main" count="1510" uniqueCount="279">
  <si>
    <t xml:space="preserve">DATE</t>
  </si>
  <si>
    <t xml:space="preserve">HEURE</t>
  </si>
  <si>
    <t xml:space="preserve">pH_BC</t>
  </si>
  <si>
    <t xml:space="preserve">Température_BC</t>
  </si>
  <si>
    <t xml:space="preserve">Conductivité_BC</t>
  </si>
  <si>
    <t xml:space="preserve">TDS_BC</t>
  </si>
  <si>
    <t xml:space="preserve">Turbidité_BC</t>
  </si>
  <si>
    <t xml:space="preserve">Ph_O_DE_A</t>
  </si>
  <si>
    <t xml:space="preserve">Température_O_DE_A</t>
  </si>
  <si>
    <t xml:space="preserve">Conductivité_O_DE_A</t>
  </si>
  <si>
    <t xml:space="preserve">TDS_O_DE_A</t>
  </si>
  <si>
    <t xml:space="preserve">Turbidité_O_DE_A</t>
  </si>
  <si>
    <t xml:space="preserve">Ph_O_DE_B</t>
  </si>
  <si>
    <t xml:space="preserve">Température_O_DE_B</t>
  </si>
  <si>
    <t xml:space="preserve">Conductivité_O_DE_B</t>
  </si>
  <si>
    <t xml:space="preserve">TDS_O_DE_B</t>
  </si>
  <si>
    <t xml:space="preserve">Turbidité_O_DE_B</t>
  </si>
  <si>
    <t xml:space="preserve">Ph_O_SF_A</t>
  </si>
  <si>
    <t xml:space="preserve">Température_O_SF_A</t>
  </si>
  <si>
    <t xml:space="preserve">Conductivité_O_SF_A</t>
  </si>
  <si>
    <t xml:space="preserve">TDS_O_SF_A</t>
  </si>
  <si>
    <t xml:space="preserve">Turbidité_O_SF_A</t>
  </si>
  <si>
    <t xml:space="preserve">Ph_O_SF_B</t>
  </si>
  <si>
    <t xml:space="preserve">Température_O_SF_B</t>
  </si>
  <si>
    <t xml:space="preserve">Conductivité_O_SF_B</t>
  </si>
  <si>
    <t xml:space="preserve">TDS_O_SF_B</t>
  </si>
  <si>
    <t xml:space="preserve">Turbidité_O_SF_B</t>
  </si>
  <si>
    <t xml:space="preserve">Ph_O_CF_A</t>
  </si>
  <si>
    <t xml:space="preserve">Température_O_CF_A</t>
  </si>
  <si>
    <t xml:space="preserve">Conductivité_O_CF_A</t>
  </si>
  <si>
    <t xml:space="preserve">TDS_O_CF_A</t>
  </si>
  <si>
    <t xml:space="preserve">Chlore libre_O_CF_A</t>
  </si>
  <si>
    <t xml:space="preserve">Turbidité_O_CF_A</t>
  </si>
  <si>
    <t xml:space="preserve">ORP_O_CF_A</t>
  </si>
  <si>
    <t xml:space="preserve">Ph_O_CF_B</t>
  </si>
  <si>
    <t xml:space="preserve">Température_O_CF_B</t>
  </si>
  <si>
    <t xml:space="preserve">Conductivité_O_CF_B</t>
  </si>
  <si>
    <t xml:space="preserve">TDS_O_CF_B</t>
  </si>
  <si>
    <t xml:space="preserve">Chlore libre_O_CF_B</t>
  </si>
  <si>
    <t xml:space="preserve">Turbidité_O_CF_B</t>
  </si>
  <si>
    <t xml:space="preserve">Ph_O_RO</t>
  </si>
  <si>
    <t xml:space="preserve">Température_O_RO</t>
  </si>
  <si>
    <t xml:space="preserve">Conductivité_O_RO</t>
  </si>
  <si>
    <t xml:space="preserve">TDS_O_RO</t>
  </si>
  <si>
    <t xml:space="preserve">Turbidité_O_RO</t>
  </si>
  <si>
    <t xml:space="preserve">Ph_O_EX</t>
  </si>
  <si>
    <t xml:space="preserve">Température_O_EX</t>
  </si>
  <si>
    <t xml:space="preserve">Conductivité_O_EX</t>
  </si>
  <si>
    <t xml:space="preserve">TDS_O_EX</t>
  </si>
  <si>
    <t xml:space="preserve">Chlore libre_O_EX</t>
  </si>
  <si>
    <t xml:space="preserve">Turbidité_O_EX</t>
  </si>
  <si>
    <t xml:space="preserve">8h00</t>
  </si>
  <si>
    <t xml:space="preserve">10h30</t>
  </si>
  <si>
    <t xml:space="preserve">15h00</t>
  </si>
  <si>
    <t xml:space="preserve">0.01</t>
  </si>
  <si>
    <t xml:space="preserve">7..09</t>
  </si>
  <si>
    <t xml:space="preserve">1..02</t>
  </si>
  <si>
    <t xml:space="preserve">15h30</t>
  </si>
  <si>
    <t xml:space="preserve">/</t>
  </si>
  <si>
    <t xml:space="preserve">13/02/2024</t>
  </si>
  <si>
    <t xml:space="preserve">14/02/2024</t>
  </si>
  <si>
    <t xml:space="preserve">15/02/2024</t>
  </si>
  <si>
    <t xml:space="preserve">16/02/2024</t>
  </si>
  <si>
    <t xml:space="preserve">17/02/2024</t>
  </si>
  <si>
    <t xml:space="preserve">18/02/2024</t>
  </si>
  <si>
    <t xml:space="preserve">19/02/2024</t>
  </si>
  <si>
    <t xml:space="preserve">20/02/2024</t>
  </si>
  <si>
    <t xml:space="preserve">21/02/2024</t>
  </si>
  <si>
    <t xml:space="preserve">22/02/2024</t>
  </si>
  <si>
    <t xml:space="preserve">23/02/2024</t>
  </si>
  <si>
    <t xml:space="preserve">24/02/2024</t>
  </si>
  <si>
    <t xml:space="preserve">25/02/2024</t>
  </si>
  <si>
    <t xml:space="preserve">26/02/2024</t>
  </si>
  <si>
    <t xml:space="preserve">27/02/2024</t>
  </si>
  <si>
    <t xml:space="preserve">28/02/2024</t>
  </si>
  <si>
    <t xml:space="preserve"> </t>
  </si>
  <si>
    <t xml:space="preserve">13/03/2024</t>
  </si>
  <si>
    <t xml:space="preserve">14/03/2024</t>
  </si>
  <si>
    <t xml:space="preserve">15/03/2024</t>
  </si>
  <si>
    <t xml:space="preserve">16/03/2024</t>
  </si>
  <si>
    <t xml:space="preserve">17/03/2024</t>
  </si>
  <si>
    <t xml:space="preserve">18/03/2024</t>
  </si>
  <si>
    <t xml:space="preserve">19/03/2024</t>
  </si>
  <si>
    <t xml:space="preserve">20/03/2024</t>
  </si>
  <si>
    <t xml:space="preserve">21/03/2024</t>
  </si>
  <si>
    <t xml:space="preserve">22/03/2024</t>
  </si>
  <si>
    <t xml:space="preserve">23/03/2024</t>
  </si>
  <si>
    <t xml:space="preserve">24/03/2024</t>
  </si>
  <si>
    <t xml:space="preserve">25/03/2024</t>
  </si>
  <si>
    <t xml:space="preserve">26/03/2024</t>
  </si>
  <si>
    <t xml:space="preserve">27/03/2024</t>
  </si>
  <si>
    <t xml:space="preserve">28/03/2024</t>
  </si>
  <si>
    <t xml:space="preserve">29/03/2024</t>
  </si>
  <si>
    <t xml:space="preserve">30/03/2024</t>
  </si>
  <si>
    <t xml:space="preserve">31/03/2024</t>
  </si>
  <si>
    <t xml:space="preserve">13/04/2024</t>
  </si>
  <si>
    <t xml:space="preserve">14/04/2024</t>
  </si>
  <si>
    <t xml:space="preserve">.</t>
  </si>
  <si>
    <t xml:space="preserve">15/04/2024</t>
  </si>
  <si>
    <t xml:space="preserve">16/04/2024</t>
  </si>
  <si>
    <t xml:space="preserve">17/04/2024</t>
  </si>
  <si>
    <t xml:space="preserve">18/04/2024</t>
  </si>
  <si>
    <t xml:space="preserve">19/04/2024</t>
  </si>
  <si>
    <t xml:space="preserve">20/04/2024</t>
  </si>
  <si>
    <t xml:space="preserve">21/04/2024</t>
  </si>
  <si>
    <t xml:space="preserve">22/04/2024</t>
  </si>
  <si>
    <t xml:space="preserve">23/04/2024</t>
  </si>
  <si>
    <t xml:space="preserve">24/04/2024</t>
  </si>
  <si>
    <t xml:space="preserve">25/01/2024</t>
  </si>
  <si>
    <t xml:space="preserve">27/04/2024</t>
  </si>
  <si>
    <t xml:space="preserve">28/04/2024</t>
  </si>
  <si>
    <t xml:space="preserve">29/04/2024</t>
  </si>
  <si>
    <t xml:space="preserve">18..8</t>
  </si>
  <si>
    <t xml:space="preserve">30/04/2024</t>
  </si>
  <si>
    <t xml:space="preserve">31/04/2024</t>
  </si>
  <si>
    <t xml:space="preserve">13/05/2024</t>
  </si>
  <si>
    <t xml:space="preserve">14/05/2024</t>
  </si>
  <si>
    <t xml:space="preserve">15/05/2024</t>
  </si>
  <si>
    <t xml:space="preserve">16/05/2024</t>
  </si>
  <si>
    <t xml:space="preserve">17/05/2024</t>
  </si>
  <si>
    <t xml:space="preserve">18/05/2024</t>
  </si>
  <si>
    <t xml:space="preserve">19/05/2024</t>
  </si>
  <si>
    <t xml:space="preserve">20/05/2024</t>
  </si>
  <si>
    <t xml:space="preserve">21/05/2024</t>
  </si>
  <si>
    <t xml:space="preserve">22/05/2024</t>
  </si>
  <si>
    <t xml:space="preserve">23/05/2024</t>
  </si>
  <si>
    <t xml:space="preserve">24/05/2024</t>
  </si>
  <si>
    <t xml:space="preserve">25/05/2024</t>
  </si>
  <si>
    <t xml:space="preserve">26/05/2024</t>
  </si>
  <si>
    <t xml:space="preserve">27/05/2024</t>
  </si>
  <si>
    <t xml:space="preserve">28/05/2024</t>
  </si>
  <si>
    <t xml:space="preserve">29/05/2024</t>
  </si>
  <si>
    <t xml:space="preserve">30/05/2024</t>
  </si>
  <si>
    <t xml:space="preserve">13/06/2024</t>
  </si>
  <si>
    <t xml:space="preserve">14/06/2024</t>
  </si>
  <si>
    <t xml:space="preserve">15/06/2024</t>
  </si>
  <si>
    <t xml:space="preserve">16/06/2024</t>
  </si>
  <si>
    <t xml:space="preserve">17/06/2024</t>
  </si>
  <si>
    <t xml:space="preserve">19/06/2024</t>
  </si>
  <si>
    <t xml:space="preserve">20/06/2024</t>
  </si>
  <si>
    <t xml:space="preserve">21/06/2024</t>
  </si>
  <si>
    <t xml:space="preserve">22/06/2024</t>
  </si>
  <si>
    <t xml:space="preserve">23/06/2024</t>
  </si>
  <si>
    <t xml:space="preserve">24/06/2024</t>
  </si>
  <si>
    <t xml:space="preserve">25/06/2024</t>
  </si>
  <si>
    <t xml:space="preserve">26/06/2024</t>
  </si>
  <si>
    <t xml:space="preserve">27/06/2024</t>
  </si>
  <si>
    <t xml:space="preserve">29/06/2024</t>
  </si>
  <si>
    <t xml:space="preserve">30/06/2024</t>
  </si>
  <si>
    <t xml:space="preserve">13/07/2024</t>
  </si>
  <si>
    <t xml:space="preserve">14/07/2024</t>
  </si>
  <si>
    <t xml:space="preserve">15/07/2024</t>
  </si>
  <si>
    <t xml:space="preserve">16/07/2024</t>
  </si>
  <si>
    <t xml:space="preserve">17/07/2024</t>
  </si>
  <si>
    <t xml:space="preserve">18/07/2024</t>
  </si>
  <si>
    <t xml:space="preserve">20/07/2024</t>
  </si>
  <si>
    <t xml:space="preserve">21/07/2024</t>
  </si>
  <si>
    <t xml:space="preserve">22/07/2024</t>
  </si>
  <si>
    <t xml:space="preserve">23/07/2024</t>
  </si>
  <si>
    <t xml:space="preserve">24/07/2024</t>
  </si>
  <si>
    <t xml:space="preserve">25/07/2024</t>
  </si>
  <si>
    <t xml:space="preserve">27/07/2024</t>
  </si>
  <si>
    <t xml:space="preserve">28/07/2024</t>
  </si>
  <si>
    <t xml:space="preserve">29/07/2024</t>
  </si>
  <si>
    <t xml:space="preserve">30/07/2024</t>
  </si>
  <si>
    <t xml:space="preserve">31/07/2024</t>
  </si>
  <si>
    <t xml:space="preserve">13/08/2024</t>
  </si>
  <si>
    <t xml:space="preserve">14/08/2024</t>
  </si>
  <si>
    <t xml:space="preserve">15/08/2024</t>
  </si>
  <si>
    <t xml:space="preserve">16/08/2024</t>
  </si>
  <si>
    <t xml:space="preserve">17/08/2024</t>
  </si>
  <si>
    <t xml:space="preserve">18/08/2024</t>
  </si>
  <si>
    <t xml:space="preserve">19/08/2024</t>
  </si>
  <si>
    <t xml:space="preserve">20/08/2024</t>
  </si>
  <si>
    <t xml:space="preserve">21/08/2024</t>
  </si>
  <si>
    <t xml:space="preserve">22/08/2024</t>
  </si>
  <si>
    <t xml:space="preserve">23/08/2024</t>
  </si>
  <si>
    <t xml:space="preserve">24/08/2024</t>
  </si>
  <si>
    <t xml:space="preserve">25/08/2024</t>
  </si>
  <si>
    <t xml:space="preserve">26/08/2024</t>
  </si>
  <si>
    <t xml:space="preserve">27/08/2024</t>
  </si>
  <si>
    <t xml:space="preserve">28/08/2024</t>
  </si>
  <si>
    <t xml:space="preserve">29/08/2024</t>
  </si>
  <si>
    <t xml:space="preserve">31/08/2024</t>
  </si>
  <si>
    <t xml:space="preserve">13/09/2024</t>
  </si>
  <si>
    <t xml:space="preserve">14/09/2024</t>
  </si>
  <si>
    <t xml:space="preserve">15/09/2024</t>
  </si>
  <si>
    <t xml:space="preserve">16/09/2024</t>
  </si>
  <si>
    <t xml:space="preserve">17/09/2024</t>
  </si>
  <si>
    <t xml:space="preserve">18/09/2024</t>
  </si>
  <si>
    <t xml:space="preserve">20/09/2024</t>
  </si>
  <si>
    <t xml:space="preserve">21/09/2024</t>
  </si>
  <si>
    <t xml:space="preserve">22/09/2024</t>
  </si>
  <si>
    <t xml:space="preserve">23/09/2024</t>
  </si>
  <si>
    <t xml:space="preserve">24/09/2024</t>
  </si>
  <si>
    <t xml:space="preserve">25/09/2024</t>
  </si>
  <si>
    <t xml:space="preserve">26/09/2024</t>
  </si>
  <si>
    <t xml:space="preserve">27/09/2024</t>
  </si>
  <si>
    <t xml:space="preserve">28/09/2024</t>
  </si>
  <si>
    <t xml:space="preserve">29/09/2024</t>
  </si>
  <si>
    <t xml:space="preserve">30/09/2024</t>
  </si>
  <si>
    <t xml:space="preserve">10h00</t>
  </si>
  <si>
    <t xml:space="preserve">13/10/2024</t>
  </si>
  <si>
    <t xml:space="preserve">14/10/2024</t>
  </si>
  <si>
    <t xml:space="preserve">15/10/2024</t>
  </si>
  <si>
    <t xml:space="preserve">16/10/2024</t>
  </si>
  <si>
    <t xml:space="preserve">17/10/2024</t>
  </si>
  <si>
    <t xml:space="preserve">18/10/2024</t>
  </si>
  <si>
    <t xml:space="preserve">19/10/2024</t>
  </si>
  <si>
    <t xml:space="preserve">20/10/2024</t>
  </si>
  <si>
    <t xml:space="preserve">21/10/2024</t>
  </si>
  <si>
    <t xml:space="preserve">22/10/2024</t>
  </si>
  <si>
    <t xml:space="preserve">23/10/2024</t>
  </si>
  <si>
    <t xml:space="preserve">24/10/2024</t>
  </si>
  <si>
    <t xml:space="preserve">25/10/2024</t>
  </si>
  <si>
    <t xml:space="preserve">26/10/2024</t>
  </si>
  <si>
    <t xml:space="preserve">27/10/2024</t>
  </si>
  <si>
    <t xml:space="preserve">28/10/2024</t>
  </si>
  <si>
    <t xml:space="preserve">29/10/2024</t>
  </si>
  <si>
    <t xml:space="preserve">30/10/2024</t>
  </si>
  <si>
    <t xml:space="preserve">31/10/2024</t>
  </si>
  <si>
    <t xml:space="preserve">13/11/2024</t>
  </si>
  <si>
    <t xml:space="preserve">14/11/2024</t>
  </si>
  <si>
    <t xml:space="preserve">15/11/2024</t>
  </si>
  <si>
    <t xml:space="preserve">16/11/2024</t>
  </si>
  <si>
    <t xml:space="preserve">17/11/2024</t>
  </si>
  <si>
    <t xml:space="preserve">18/11/2024</t>
  </si>
  <si>
    <t xml:space="preserve">19/11/2024</t>
  </si>
  <si>
    <t xml:space="preserve">20/11/2024</t>
  </si>
  <si>
    <t xml:space="preserve">21/11/2024</t>
  </si>
  <si>
    <t xml:space="preserve">22/11/2024</t>
  </si>
  <si>
    <t xml:space="preserve">23/11/2024</t>
  </si>
  <si>
    <t xml:space="preserve">24/11/2024</t>
  </si>
  <si>
    <t xml:space="preserve">25/11/2024</t>
  </si>
  <si>
    <t xml:space="preserve">26/11/2024</t>
  </si>
  <si>
    <t xml:space="preserve">27/11/2024</t>
  </si>
  <si>
    <t xml:space="preserve">28/11/2024</t>
  </si>
  <si>
    <t xml:space="preserve">29/11/2024</t>
  </si>
  <si>
    <t xml:space="preserve">30/11/2024</t>
  </si>
  <si>
    <t xml:space="preserve">13/12/2024</t>
  </si>
  <si>
    <t xml:space="preserve">14/12/2024</t>
  </si>
  <si>
    <t xml:space="preserve">15/12/2024</t>
  </si>
  <si>
    <t xml:space="preserve">16/12/2024</t>
  </si>
  <si>
    <t xml:space="preserve">17/12/2024</t>
  </si>
  <si>
    <t xml:space="preserve">18/12/2024</t>
  </si>
  <si>
    <t xml:space="preserve">19/12/2024</t>
  </si>
  <si>
    <t xml:space="preserve">20/12/2024</t>
  </si>
  <si>
    <t xml:space="preserve">21/12/2024</t>
  </si>
  <si>
    <t xml:space="preserve">22/12/2024</t>
  </si>
  <si>
    <t xml:space="preserve">23/12/2024</t>
  </si>
  <si>
    <t xml:space="preserve">24/12/2024</t>
  </si>
  <si>
    <t xml:space="preserve">25/12/2024</t>
  </si>
  <si>
    <t xml:space="preserve">26/12/2024</t>
  </si>
  <si>
    <t xml:space="preserve">27/12/2024</t>
  </si>
  <si>
    <t xml:space="preserve">28/12/2024</t>
  </si>
  <si>
    <t xml:space="preserve">29/12/2024</t>
  </si>
  <si>
    <t xml:space="preserve">30/12/2024</t>
  </si>
  <si>
    <t xml:space="preserve">31/12/2024</t>
  </si>
  <si>
    <t xml:space="preserve">14h00</t>
  </si>
  <si>
    <t xml:space="preserve">11h00</t>
  </si>
  <si>
    <t xml:space="preserve">13/01/2025</t>
  </si>
  <si>
    <t xml:space="preserve">14/01/2025</t>
  </si>
  <si>
    <t xml:space="preserve">15/01/2025</t>
  </si>
  <si>
    <t xml:space="preserve">16/01/2025</t>
  </si>
  <si>
    <t xml:space="preserve">17/01/2025</t>
  </si>
  <si>
    <t xml:space="preserve">18/01/2025</t>
  </si>
  <si>
    <t xml:space="preserve">19/01/2025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</si>
  <si>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</si>
  <si>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</si>
  <si>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</si>
  <si>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</si>
  <si>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</si>
  <si>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25/01/2025</t>
  </si>
  <si>
    <t xml:space="preserve">26/01/2025</t>
  </si>
  <si>
    <t xml:space="preserve">27/01/2025</t>
  </si>
  <si>
    <t xml:space="preserve">28/01/2025</t>
  </si>
  <si>
    <t xml:space="preserve">29/01/2025</t>
  </si>
  <si>
    <t xml:space="preserve">30/01/2025</t>
  </si>
  <si>
    <t xml:space="preserve">31/01/2025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</si>
</sst>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.00"/>
    <numFmt numFmtId="167" formatCode="0.0"/>
    <numFmt numFmtId="168" formatCode="mm/dd/yy"/>
    <numFmt numFmtId="169" formatCode="0"/>
  </numFmts>
  <fonts count="1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Times New Roman"/>
      <family val="1"/>
      <charset val="1"/>
    </font>
    <font>
      <b val="true"/>
      <sz val="12"/>
      <color theme="1"/>
      <name val="Showcard Gothic"/>
      <family val="5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0"/>
      <color theme="1"/>
      <name val="Times New Roman"/>
      <family val="1"/>
      <charset val="1"/>
    </font>
    <font>
      <b val="true"/>
      <sz val="12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b val="true"/>
      <sz val="12"/>
      <color theme="2" tint="-0.25"/>
      <name val="Calibri"/>
      <family val="2"/>
      <charset val="1"/>
    </font>
    <font>
      <b val="true"/>
      <i val="true"/>
      <sz val="12"/>
      <name val="Calibri"/>
      <family val="2"/>
      <charset val="1"/>
    </font>
    <font>
      <b val="true"/>
      <sz val="13"/>
      <color theme="1"/>
      <name val="Calibri"/>
      <family val="2"/>
      <charset val="1"/>
    </font>
    <font>
      <b val="true"/>
      <sz val="13"/>
      <color theme="1"/>
      <name val="Arial"/>
      <family val="2"/>
      <charset val="1"/>
    </font>
    <font>
      <b val="true"/>
      <u val="single"/>
      <sz val="13"/>
      <color theme="1"/>
      <name val="Arial"/>
      <family val="2"/>
      <charset val="1"/>
    </font>
    <font>
      <b val="true"/>
      <sz val="13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5983B0"/>
        <bgColor rgb="FF7F7F7F"/>
      </patternFill>
    </fill>
    <fill>
      <patternFill patternType="solid">
        <fgColor rgb="FFFFA6A6"/>
        <bgColor rgb="FFC4BD97"/>
      </patternFill>
    </fill>
    <fill>
      <patternFill patternType="solid">
        <fgColor rgb="FFFF5429"/>
        <bgColor rgb="FFE46C0A"/>
      </patternFill>
    </fill>
    <fill>
      <patternFill patternType="solid">
        <fgColor rgb="FF3FAF46"/>
        <bgColor rgb="FF33CCCC"/>
      </patternFill>
    </fill>
    <fill>
      <patternFill patternType="solid">
        <fgColor rgb="FFB06444"/>
        <bgColor rgb="FF948A54"/>
      </patternFill>
    </fill>
    <fill>
      <patternFill patternType="solid">
        <fgColor theme="1" tint="0.4999"/>
        <bgColor rgb="FF948A54"/>
      </patternFill>
    </fill>
    <fill>
      <patternFill patternType="solid">
        <fgColor theme="0"/>
        <bgColor rgb="FFFFFFCC"/>
      </patternFill>
    </fill>
    <fill>
      <patternFill patternType="solid">
        <fgColor theme="2" tint="-0.5"/>
        <bgColor rgb="FF7F7F7F"/>
      </patternFill>
    </fill>
    <fill>
      <patternFill patternType="solid">
        <fgColor theme="3" tint="-0.25"/>
        <bgColor rgb="FF333333"/>
      </patternFill>
    </fill>
    <fill>
      <patternFill patternType="solid">
        <fgColor theme="9" tint="-0.25"/>
        <bgColor rgb="FFFF5429"/>
      </patternFill>
    </fill>
    <fill>
      <patternFill patternType="solid">
        <fgColor theme="0" tint="-0.25"/>
        <bgColor rgb="FFC4BD97"/>
      </patternFill>
    </fill>
    <fill>
      <patternFill patternType="solid">
        <fgColor rgb="FFFF0000"/>
        <bgColor rgb="FFFF5429"/>
      </patternFill>
    </fill>
    <fill>
      <patternFill patternType="solid">
        <fgColor theme="1" tint="0.3499"/>
        <bgColor rgb="FF7F7F7F"/>
      </patternFill>
    </fill>
    <fill>
      <patternFill patternType="solid">
        <fgColor theme="7" tint="0.3999"/>
        <bgColor rgb="FFBFBFBF"/>
      </patternFill>
    </fill>
    <fill>
      <patternFill patternType="solid">
        <fgColor theme="1"/>
        <bgColor rgb="FF003300"/>
      </patternFill>
    </fill>
    <fill>
      <patternFill patternType="solid">
        <fgColor rgb="FFFFC000"/>
        <bgColor rgb="FFFF99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true" diagonalDown="false">
      <left style="thin"/>
      <right style="thin"/>
      <top style="thin"/>
      <bottom style="thin"/>
      <diagonal style="thin"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true" diagonalDown="false">
      <left style="thin"/>
      <right style="thin"/>
      <top style="thin"/>
      <bottom/>
      <diagonal style="thin"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1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1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1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1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4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1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444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542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B3A2C7"/>
      <rgbColor rgb="FFC4BD97"/>
      <rgbColor rgb="FF5983B0"/>
      <rgbColor rgb="FF33CCCC"/>
      <rgbColor rgb="FF99CC00"/>
      <rgbColor rgb="FFFFC000"/>
      <rgbColor rgb="FFFF9900"/>
      <rgbColor rgb="FFE46C0A"/>
      <rgbColor rgb="FF595959"/>
      <rgbColor rgb="FF948A54"/>
      <rgbColor rgb="FF17375E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931"/>
  <sheetViews>
    <sheetView showFormulas="false" showGridLines="true" showRowColHeaders="true" showZeros="true" rightToLeft="false" tabSelected="true" showOutlineSymbols="true" defaultGridColor="true" view="normal" topLeftCell="AS88" colorId="64" zoomScale="90" zoomScaleNormal="90" zoomScalePageLayoutView="100" workbookViewId="0">
      <selection pane="topLeft" activeCell="AX121" activeCellId="0" sqref="AX12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3.42"/>
    <col collapsed="false" customWidth="true" hidden="false" outlineLevel="0" max="2" min="2" style="1" width="19.57"/>
    <col collapsed="false" customWidth="true" hidden="false" outlineLevel="0" max="12" min="3" style="2" width="14.48"/>
    <col collapsed="false" customWidth="true" hidden="false" outlineLevel="0" max="51" min="13" style="2" width="19.38"/>
    <col collapsed="false" customWidth="true" hidden="false" outlineLevel="0" max="16384" min="16370" style="0" width="11.53"/>
  </cols>
  <sheetData>
    <row r="1" customFormat="false" ht="37.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4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</row>
    <row r="2" customFormat="false" ht="15" hidden="false" customHeight="false" outlineLevel="0" collapsed="false">
      <c r="A2" s="16" t="n">
        <v>45292</v>
      </c>
      <c r="B2" s="17" t="s">
        <v>51</v>
      </c>
      <c r="C2" s="18" t="n">
        <v>8.27</v>
      </c>
      <c r="D2" s="19" t="n">
        <v>16.7</v>
      </c>
      <c r="E2" s="19" t="n">
        <v>55</v>
      </c>
      <c r="F2" s="19" t="n">
        <v>33</v>
      </c>
      <c r="G2" s="19" t="n">
        <v>0.57</v>
      </c>
      <c r="H2" s="19" t="n">
        <v>8.22</v>
      </c>
      <c r="I2" s="19" t="n">
        <v>16.9</v>
      </c>
      <c r="J2" s="19" t="n">
        <v>55</v>
      </c>
      <c r="K2" s="19" t="n">
        <v>33</v>
      </c>
      <c r="L2" s="19" t="n">
        <v>0.13</v>
      </c>
      <c r="M2" s="19" t="n">
        <v>8.22</v>
      </c>
      <c r="N2" s="19" t="n">
        <v>16.9</v>
      </c>
      <c r="O2" s="19" t="n">
        <v>55</v>
      </c>
      <c r="P2" s="19" t="n">
        <v>3</v>
      </c>
      <c r="Q2" s="19" t="n">
        <v>0.16</v>
      </c>
      <c r="R2" s="19" t="n">
        <v>8.12</v>
      </c>
      <c r="S2" s="19" t="n">
        <v>17</v>
      </c>
      <c r="T2" s="19" t="n">
        <v>55</v>
      </c>
      <c r="U2" s="19" t="n">
        <v>33</v>
      </c>
      <c r="V2" s="19" t="n">
        <v>0.03</v>
      </c>
      <c r="W2" s="19" t="n">
        <v>8.17</v>
      </c>
      <c r="X2" s="19" t="n">
        <v>17</v>
      </c>
      <c r="Y2" s="19" t="n">
        <v>55</v>
      </c>
      <c r="Z2" s="19" t="n">
        <v>33</v>
      </c>
      <c r="AA2" s="19" t="n">
        <v>0.04</v>
      </c>
      <c r="AB2" s="19" t="n">
        <v>8.1</v>
      </c>
      <c r="AC2" s="19" t="n">
        <v>17.9</v>
      </c>
      <c r="AD2" s="19" t="n">
        <v>55</v>
      </c>
      <c r="AE2" s="19" t="n">
        <v>33</v>
      </c>
      <c r="AF2" s="19" t="n">
        <v>0</v>
      </c>
      <c r="AG2" s="19" t="n">
        <v>0.02</v>
      </c>
      <c r="AH2" s="20"/>
      <c r="AI2" s="19" t="n">
        <v>8.1</v>
      </c>
      <c r="AJ2" s="19" t="n">
        <v>17.9</v>
      </c>
      <c r="AK2" s="19" t="n">
        <v>55</v>
      </c>
      <c r="AL2" s="19" t="n">
        <v>33</v>
      </c>
      <c r="AM2" s="19" t="n">
        <v>0</v>
      </c>
      <c r="AN2" s="19" t="n">
        <v>0.03</v>
      </c>
      <c r="AO2" s="19" t="n">
        <v>6.8</v>
      </c>
      <c r="AP2" s="19" t="n">
        <v>18</v>
      </c>
      <c r="AQ2" s="19" t="n">
        <v>244</v>
      </c>
      <c r="AR2" s="19" t="n">
        <v>122</v>
      </c>
      <c r="AS2" s="19" t="n">
        <v>0.01</v>
      </c>
      <c r="AT2" s="19" t="n">
        <v>7</v>
      </c>
      <c r="AU2" s="21" t="n">
        <v>18.6</v>
      </c>
      <c r="AV2" s="21" t="n">
        <v>290</v>
      </c>
      <c r="AW2" s="21" t="n">
        <v>145</v>
      </c>
      <c r="AX2" s="21" t="n">
        <v>1.1</v>
      </c>
      <c r="AY2" s="21" t="n">
        <v>0.01</v>
      </c>
    </row>
    <row r="3" customFormat="false" ht="15" hidden="false" customHeight="false" outlineLevel="0" collapsed="false">
      <c r="A3" s="16" t="n">
        <v>45292</v>
      </c>
      <c r="B3" s="22" t="s">
        <v>52</v>
      </c>
      <c r="C3" s="18" t="n">
        <v>8.25</v>
      </c>
      <c r="D3" s="19" t="n">
        <v>16.5</v>
      </c>
      <c r="E3" s="19" t="n">
        <v>55.1</v>
      </c>
      <c r="F3" s="19" t="n">
        <v>33.06</v>
      </c>
      <c r="G3" s="19" t="n">
        <v>0.36</v>
      </c>
      <c r="H3" s="19" t="n">
        <v>8.21</v>
      </c>
      <c r="I3" s="19" t="n">
        <v>16.6</v>
      </c>
      <c r="J3" s="19" t="n">
        <v>55.1</v>
      </c>
      <c r="K3" s="19" t="n">
        <v>33.06</v>
      </c>
      <c r="L3" s="19" t="n">
        <v>0.12</v>
      </c>
      <c r="M3" s="19" t="n">
        <v>8.21</v>
      </c>
      <c r="N3" s="19" t="n">
        <v>16.5</v>
      </c>
      <c r="O3" s="19" t="n">
        <v>55.1</v>
      </c>
      <c r="P3" s="19" t="n">
        <v>33.06</v>
      </c>
      <c r="Q3" s="19" t="n">
        <v>0.17</v>
      </c>
      <c r="R3" s="19" t="n">
        <v>8.12</v>
      </c>
      <c r="S3" s="19" t="n">
        <v>16.9</v>
      </c>
      <c r="T3" s="19" t="n">
        <v>55</v>
      </c>
      <c r="U3" s="19" t="n">
        <v>33</v>
      </c>
      <c r="V3" s="19" t="n">
        <v>0.01</v>
      </c>
      <c r="W3" s="19" t="n">
        <v>8.12</v>
      </c>
      <c r="X3" s="19" t="n">
        <v>16.9</v>
      </c>
      <c r="Y3" s="19" t="n">
        <v>55</v>
      </c>
      <c r="Z3" s="19" t="n">
        <v>33</v>
      </c>
      <c r="AA3" s="19" t="n">
        <v>0.02</v>
      </c>
      <c r="AB3" s="19" t="n">
        <v>8.1</v>
      </c>
      <c r="AC3" s="19" t="n">
        <v>17.2</v>
      </c>
      <c r="AD3" s="19" t="n">
        <v>55</v>
      </c>
      <c r="AE3" s="19" t="n">
        <v>33</v>
      </c>
      <c r="AF3" s="19" t="n">
        <v>0</v>
      </c>
      <c r="AG3" s="19" t="n">
        <v>0.01</v>
      </c>
      <c r="AH3" s="20"/>
      <c r="AI3" s="19" t="n">
        <v>8.1</v>
      </c>
      <c r="AJ3" s="19" t="n">
        <v>17.2</v>
      </c>
      <c r="AK3" s="19" t="n">
        <v>55</v>
      </c>
      <c r="AL3" s="19" t="n">
        <v>33</v>
      </c>
      <c r="AM3" s="19" t="n">
        <v>0</v>
      </c>
      <c r="AN3" s="19" t="n">
        <v>0.02</v>
      </c>
      <c r="AO3" s="19" t="n">
        <v>6.88</v>
      </c>
      <c r="AP3" s="21" t="n">
        <v>17.9</v>
      </c>
      <c r="AQ3" s="21" t="n">
        <v>240</v>
      </c>
      <c r="AR3" s="21" t="n">
        <v>120</v>
      </c>
      <c r="AS3" s="21" t="n">
        <v>0.01</v>
      </c>
      <c r="AT3" s="19" t="n">
        <v>7.05</v>
      </c>
      <c r="AU3" s="21" t="n">
        <v>18.6</v>
      </c>
      <c r="AV3" s="21" t="n">
        <v>287</v>
      </c>
      <c r="AW3" s="21" t="n">
        <v>143.5</v>
      </c>
      <c r="AX3" s="21"/>
      <c r="AY3" s="21" t="n">
        <v>0.01</v>
      </c>
    </row>
    <row r="4" customFormat="false" ht="15" hidden="false" customHeight="false" outlineLevel="0" collapsed="false">
      <c r="A4" s="16" t="n">
        <v>45292</v>
      </c>
      <c r="B4" s="22" t="s">
        <v>53</v>
      </c>
      <c r="C4" s="18" t="n">
        <v>8.26</v>
      </c>
      <c r="D4" s="19" t="n">
        <v>17.3</v>
      </c>
      <c r="E4" s="19" t="n">
        <v>55</v>
      </c>
      <c r="F4" s="19" t="n">
        <v>33</v>
      </c>
      <c r="G4" s="19" t="n">
        <v>0.28</v>
      </c>
      <c r="H4" s="19" t="n">
        <v>8.2</v>
      </c>
      <c r="I4" s="19" t="n">
        <v>17.4</v>
      </c>
      <c r="J4" s="19" t="n">
        <v>55</v>
      </c>
      <c r="K4" s="19" t="n">
        <v>33</v>
      </c>
      <c r="L4" s="19" t="n">
        <v>0.1</v>
      </c>
      <c r="M4" s="19" t="n">
        <v>8.2</v>
      </c>
      <c r="N4" s="19" t="n">
        <v>17.4</v>
      </c>
      <c r="O4" s="19" t="n">
        <v>55</v>
      </c>
      <c r="P4" s="19" t="n">
        <v>33</v>
      </c>
      <c r="Q4" s="19" t="n">
        <v>0.09</v>
      </c>
      <c r="R4" s="19" t="n">
        <v>8.12</v>
      </c>
      <c r="S4" s="19" t="n">
        <v>17.8</v>
      </c>
      <c r="T4" s="19" t="n">
        <v>55</v>
      </c>
      <c r="U4" s="19" t="n">
        <v>33</v>
      </c>
      <c r="V4" s="19" t="n">
        <v>0.01</v>
      </c>
      <c r="W4" s="19" t="n">
        <v>8.12</v>
      </c>
      <c r="X4" s="19" t="n">
        <v>17.8</v>
      </c>
      <c r="Y4" s="19" t="n">
        <v>55</v>
      </c>
      <c r="Z4" s="19" t="n">
        <v>33</v>
      </c>
      <c r="AA4" s="19" t="n">
        <v>0.01</v>
      </c>
      <c r="AB4" s="19" t="n">
        <v>8.1</v>
      </c>
      <c r="AC4" s="19" t="n">
        <v>17.9</v>
      </c>
      <c r="AD4" s="19" t="n">
        <v>55</v>
      </c>
      <c r="AE4" s="19" t="n">
        <v>33</v>
      </c>
      <c r="AF4" s="19" t="n">
        <v>0</v>
      </c>
      <c r="AG4" s="19" t="n">
        <v>0.01</v>
      </c>
      <c r="AH4" s="20"/>
      <c r="AI4" s="19" t="n">
        <v>8.1</v>
      </c>
      <c r="AJ4" s="19" t="n">
        <v>17.9</v>
      </c>
      <c r="AK4" s="19" t="n">
        <v>55</v>
      </c>
      <c r="AL4" s="19" t="n">
        <v>33</v>
      </c>
      <c r="AM4" s="19" t="n">
        <v>0</v>
      </c>
      <c r="AN4" s="19" t="n">
        <v>0.01</v>
      </c>
      <c r="AO4" s="19" t="n">
        <v>6.88</v>
      </c>
      <c r="AP4" s="19" t="n">
        <v>18.2</v>
      </c>
      <c r="AQ4" s="19" t="n">
        <v>245</v>
      </c>
      <c r="AR4" s="19" t="n">
        <v>122.5</v>
      </c>
      <c r="AS4" s="19" t="n">
        <v>0.01</v>
      </c>
      <c r="AT4" s="19" t="n">
        <v>7.07</v>
      </c>
      <c r="AU4" s="21" t="n">
        <v>19.2</v>
      </c>
      <c r="AV4" s="21" t="n">
        <v>290</v>
      </c>
      <c r="AW4" s="21" t="n">
        <v>145</v>
      </c>
      <c r="AX4" s="21" t="n">
        <v>1.1</v>
      </c>
      <c r="AY4" s="21" t="n">
        <v>0.01</v>
      </c>
    </row>
    <row r="5" customFormat="false" ht="15" hidden="false" customHeight="false" outlineLevel="0" collapsed="false">
      <c r="A5" s="16" t="n">
        <v>45293</v>
      </c>
      <c r="B5" s="17" t="s">
        <v>51</v>
      </c>
      <c r="C5" s="18" t="n">
        <v>8.27</v>
      </c>
      <c r="D5" s="19" t="n">
        <v>16</v>
      </c>
      <c r="E5" s="19" t="n">
        <v>55</v>
      </c>
      <c r="F5" s="19" t="n">
        <v>33</v>
      </c>
      <c r="G5" s="19" t="n">
        <v>0.71</v>
      </c>
      <c r="H5" s="19" t="n">
        <v>8.17</v>
      </c>
      <c r="I5" s="19" t="n">
        <v>16.3</v>
      </c>
      <c r="J5" s="19" t="n">
        <v>55</v>
      </c>
      <c r="K5" s="19" t="n">
        <v>33</v>
      </c>
      <c r="L5" s="19" t="n">
        <v>0.16</v>
      </c>
      <c r="M5" s="19" t="n">
        <v>8.17</v>
      </c>
      <c r="N5" s="19" t="n">
        <v>16</v>
      </c>
      <c r="O5" s="19" t="n">
        <v>55</v>
      </c>
      <c r="P5" s="19" t="n">
        <v>33</v>
      </c>
      <c r="Q5" s="19" t="n">
        <v>0.13</v>
      </c>
      <c r="R5" s="19" t="n">
        <v>8.11</v>
      </c>
      <c r="S5" s="19" t="n">
        <v>16.5</v>
      </c>
      <c r="T5" s="19" t="n">
        <v>55</v>
      </c>
      <c r="U5" s="19" t="n">
        <v>33</v>
      </c>
      <c r="V5" s="19" t="n">
        <v>0.01</v>
      </c>
      <c r="W5" s="19" t="n">
        <v>8.11</v>
      </c>
      <c r="X5" s="19" t="n">
        <v>16.5</v>
      </c>
      <c r="Y5" s="19" t="n">
        <v>55</v>
      </c>
      <c r="Z5" s="19" t="n">
        <v>33</v>
      </c>
      <c r="AA5" s="19" t="n">
        <v>0.01</v>
      </c>
      <c r="AB5" s="19" t="n">
        <v>8.09</v>
      </c>
      <c r="AC5" s="19" t="n">
        <v>16.7</v>
      </c>
      <c r="AD5" s="19" t="n">
        <v>55</v>
      </c>
      <c r="AE5" s="19" t="n">
        <v>33</v>
      </c>
      <c r="AF5" s="19" t="n">
        <v>0</v>
      </c>
      <c r="AG5" s="19" t="n">
        <v>0.01</v>
      </c>
      <c r="AH5" s="20"/>
      <c r="AI5" s="19" t="n">
        <v>8.09</v>
      </c>
      <c r="AJ5" s="19" t="n">
        <v>16.7</v>
      </c>
      <c r="AK5" s="19" t="n">
        <v>55</v>
      </c>
      <c r="AL5" s="19" t="n">
        <v>33</v>
      </c>
      <c r="AM5" s="19" t="n">
        <v>0</v>
      </c>
      <c r="AN5" s="19" t="n">
        <v>0.01</v>
      </c>
      <c r="AO5" s="20"/>
      <c r="AP5" s="20"/>
      <c r="AQ5" s="20"/>
      <c r="AR5" s="20"/>
      <c r="AS5" s="20"/>
      <c r="AT5" s="19" t="n">
        <v>6.99</v>
      </c>
      <c r="AU5" s="21" t="n">
        <v>17.7</v>
      </c>
      <c r="AV5" s="21" t="n">
        <v>309</v>
      </c>
      <c r="AW5" s="21" t="n">
        <v>154.5</v>
      </c>
      <c r="AX5" s="21" t="n">
        <v>1</v>
      </c>
      <c r="AY5" s="21" t="n">
        <v>0.01</v>
      </c>
    </row>
    <row r="6" customFormat="false" ht="15" hidden="false" customHeight="false" outlineLevel="0" collapsed="false">
      <c r="A6" s="16" t="n">
        <v>45293</v>
      </c>
      <c r="B6" s="22" t="s">
        <v>52</v>
      </c>
      <c r="C6" s="18" t="n">
        <v>8.24</v>
      </c>
      <c r="D6" s="19" t="n">
        <v>16.8</v>
      </c>
      <c r="E6" s="19" t="n">
        <v>55</v>
      </c>
      <c r="F6" s="19" t="n">
        <v>33</v>
      </c>
      <c r="G6" s="19" t="n">
        <v>0.98</v>
      </c>
      <c r="H6" s="19" t="n">
        <v>8.2</v>
      </c>
      <c r="I6" s="19" t="n">
        <v>17</v>
      </c>
      <c r="J6" s="19" t="n">
        <v>55</v>
      </c>
      <c r="K6" s="19" t="n">
        <v>33</v>
      </c>
      <c r="L6" s="19" t="n">
        <v>0.49</v>
      </c>
      <c r="M6" s="19" t="n">
        <v>8.2</v>
      </c>
      <c r="N6" s="19" t="n">
        <v>17</v>
      </c>
      <c r="O6" s="19" t="n">
        <v>55</v>
      </c>
      <c r="P6" s="19" t="n">
        <v>33</v>
      </c>
      <c r="Q6" s="19" t="n">
        <v>0.25</v>
      </c>
      <c r="R6" s="19" t="n">
        <v>8.17</v>
      </c>
      <c r="S6" s="19" t="n">
        <v>17.2</v>
      </c>
      <c r="T6" s="19" t="n">
        <v>55</v>
      </c>
      <c r="U6" s="19" t="n">
        <v>33</v>
      </c>
      <c r="V6" s="19" t="n">
        <v>0.01</v>
      </c>
      <c r="W6" s="19" t="n">
        <v>8.17</v>
      </c>
      <c r="X6" s="19" t="n">
        <v>17.2</v>
      </c>
      <c r="Y6" s="19" t="n">
        <v>55</v>
      </c>
      <c r="Z6" s="19" t="n">
        <v>33</v>
      </c>
      <c r="AA6" s="19" t="n">
        <v>0.01</v>
      </c>
      <c r="AB6" s="19" t="n">
        <v>8.09</v>
      </c>
      <c r="AC6" s="19" t="n">
        <v>17.6</v>
      </c>
      <c r="AD6" s="19" t="n">
        <v>55</v>
      </c>
      <c r="AE6" s="19" t="n">
        <v>33</v>
      </c>
      <c r="AF6" s="19" t="n">
        <v>0</v>
      </c>
      <c r="AG6" s="19" t="n">
        <v>0.01</v>
      </c>
      <c r="AH6" s="20"/>
      <c r="AI6" s="19" t="n">
        <v>8.09</v>
      </c>
      <c r="AJ6" s="19" t="n">
        <v>17.6</v>
      </c>
      <c r="AK6" s="19" t="n">
        <v>55</v>
      </c>
      <c r="AL6" s="19" t="n">
        <v>33</v>
      </c>
      <c r="AM6" s="19" t="n">
        <v>0</v>
      </c>
      <c r="AN6" s="19" t="n">
        <v>0.01</v>
      </c>
      <c r="AO6" s="20"/>
      <c r="AP6" s="20"/>
      <c r="AQ6" s="20"/>
      <c r="AR6" s="20"/>
      <c r="AS6" s="20"/>
      <c r="AT6" s="19" t="n">
        <v>6.99</v>
      </c>
      <c r="AU6" s="21" t="n">
        <v>18.2</v>
      </c>
      <c r="AV6" s="21" t="n">
        <v>269</v>
      </c>
      <c r="AW6" s="21" t="n">
        <v>134.5</v>
      </c>
      <c r="AX6" s="21" t="n">
        <v>1</v>
      </c>
      <c r="AY6" s="21" t="n">
        <v>0.01</v>
      </c>
    </row>
    <row r="7" customFormat="false" ht="15" hidden="false" customHeight="false" outlineLevel="0" collapsed="false">
      <c r="A7" s="16" t="n">
        <v>45293</v>
      </c>
      <c r="B7" s="22" t="s">
        <v>53</v>
      </c>
      <c r="C7" s="18" t="n">
        <v>8.23</v>
      </c>
      <c r="D7" s="19" t="n">
        <v>16.1</v>
      </c>
      <c r="E7" s="19" t="n">
        <v>55</v>
      </c>
      <c r="F7" s="19" t="n">
        <v>33</v>
      </c>
      <c r="G7" s="19" t="n">
        <v>1.23</v>
      </c>
      <c r="H7" s="19" t="n">
        <v>8.23</v>
      </c>
      <c r="I7" s="19" t="n">
        <v>16.3</v>
      </c>
      <c r="J7" s="19" t="n">
        <v>55</v>
      </c>
      <c r="K7" s="19" t="n">
        <v>33</v>
      </c>
      <c r="L7" s="19" t="n">
        <v>0.4</v>
      </c>
      <c r="M7" s="19" t="n">
        <v>8.23</v>
      </c>
      <c r="N7" s="19" t="n">
        <v>16.3</v>
      </c>
      <c r="O7" s="19" t="n">
        <v>55</v>
      </c>
      <c r="P7" s="19" t="n">
        <v>33</v>
      </c>
      <c r="Q7" s="19" t="n">
        <v>0.44</v>
      </c>
      <c r="R7" s="19" t="n">
        <v>8.11</v>
      </c>
      <c r="S7" s="19" t="n">
        <v>17</v>
      </c>
      <c r="T7" s="19" t="n">
        <v>55</v>
      </c>
      <c r="U7" s="19" t="n">
        <v>33</v>
      </c>
      <c r="V7" s="19" t="n">
        <v>0.01</v>
      </c>
      <c r="W7" s="19" t="n">
        <v>8.11</v>
      </c>
      <c r="X7" s="19" t="n">
        <v>17</v>
      </c>
      <c r="Y7" s="19" t="n">
        <v>55</v>
      </c>
      <c r="Z7" s="19" t="n">
        <v>33</v>
      </c>
      <c r="AA7" s="19" t="n">
        <v>0.02</v>
      </c>
      <c r="AB7" s="19" t="n">
        <v>8.08</v>
      </c>
      <c r="AC7" s="19" t="n">
        <v>17.3</v>
      </c>
      <c r="AD7" s="19" t="n">
        <v>55</v>
      </c>
      <c r="AE7" s="19" t="n">
        <v>33</v>
      </c>
      <c r="AF7" s="20"/>
      <c r="AG7" s="19" t="n">
        <v>0.01</v>
      </c>
      <c r="AH7" s="20"/>
      <c r="AI7" s="19" t="n">
        <v>8.08</v>
      </c>
      <c r="AJ7" s="19" t="n">
        <v>17.3</v>
      </c>
      <c r="AK7" s="19" t="n">
        <v>55</v>
      </c>
      <c r="AL7" s="19" t="n">
        <v>33</v>
      </c>
      <c r="AM7" s="20"/>
      <c r="AN7" s="19" t="n">
        <v>0.01</v>
      </c>
      <c r="AO7" s="20"/>
      <c r="AP7" s="20"/>
      <c r="AQ7" s="20"/>
      <c r="AR7" s="20"/>
      <c r="AS7" s="20"/>
      <c r="AT7" s="19" t="n">
        <v>6.94</v>
      </c>
      <c r="AU7" s="21" t="n">
        <v>18.9</v>
      </c>
      <c r="AV7" s="21" t="n">
        <v>278</v>
      </c>
      <c r="AW7" s="21" t="n">
        <v>139</v>
      </c>
      <c r="AX7" s="21" t="n">
        <v>1</v>
      </c>
      <c r="AY7" s="21" t="n">
        <v>0.01</v>
      </c>
    </row>
    <row r="8" customFormat="false" ht="15" hidden="false" customHeight="false" outlineLevel="0" collapsed="false">
      <c r="A8" s="16" t="n">
        <v>45294</v>
      </c>
      <c r="B8" s="17" t="s">
        <v>51</v>
      </c>
      <c r="C8" s="18" t="n">
        <v>8.24</v>
      </c>
      <c r="D8" s="19" t="n">
        <v>16.8</v>
      </c>
      <c r="E8" s="19" t="n">
        <v>54.7</v>
      </c>
      <c r="F8" s="19" t="n">
        <v>32.82</v>
      </c>
      <c r="G8" s="19" t="n">
        <v>0.98</v>
      </c>
      <c r="H8" s="19" t="n">
        <v>8.17</v>
      </c>
      <c r="I8" s="19" t="n">
        <v>16.9</v>
      </c>
      <c r="J8" s="19" t="n">
        <v>54.7</v>
      </c>
      <c r="K8" s="19" t="n">
        <v>32.82</v>
      </c>
      <c r="L8" s="19" t="n">
        <v>0.2</v>
      </c>
      <c r="M8" s="19" t="n">
        <v>8.24</v>
      </c>
      <c r="N8" s="19" t="n">
        <v>16.8</v>
      </c>
      <c r="O8" s="19" t="n">
        <v>54.7</v>
      </c>
      <c r="P8" s="19" t="n">
        <v>32.82</v>
      </c>
      <c r="Q8" s="19" t="n">
        <v>0.18</v>
      </c>
      <c r="R8" s="19" t="n">
        <v>8.17</v>
      </c>
      <c r="S8" s="19" t="n">
        <v>17</v>
      </c>
      <c r="T8" s="19" t="n">
        <v>54.7</v>
      </c>
      <c r="U8" s="19" t="n">
        <v>32.82</v>
      </c>
      <c r="V8" s="19" t="n">
        <v>0.01</v>
      </c>
      <c r="W8" s="19" t="n">
        <v>8.24</v>
      </c>
      <c r="X8" s="19" t="n">
        <v>17</v>
      </c>
      <c r="Y8" s="19" t="n">
        <v>54.7</v>
      </c>
      <c r="Z8" s="19" t="n">
        <v>32.82</v>
      </c>
      <c r="AA8" s="19" t="n">
        <v>0.01</v>
      </c>
      <c r="AB8" s="19" t="n">
        <v>8.05</v>
      </c>
      <c r="AC8" s="19" t="n">
        <v>18</v>
      </c>
      <c r="AD8" s="19" t="n">
        <v>54.7</v>
      </c>
      <c r="AE8" s="19" t="n">
        <v>32.82</v>
      </c>
      <c r="AF8" s="19" t="n">
        <v>0</v>
      </c>
      <c r="AG8" s="19" t="n">
        <v>0.01</v>
      </c>
      <c r="AH8" s="20"/>
      <c r="AI8" s="19" t="n">
        <v>8.05</v>
      </c>
      <c r="AJ8" s="19" t="n">
        <v>18</v>
      </c>
      <c r="AK8" s="19" t="n">
        <v>54.7</v>
      </c>
      <c r="AL8" s="19" t="n">
        <v>32.82</v>
      </c>
      <c r="AM8" s="19" t="n">
        <v>0</v>
      </c>
      <c r="AN8" s="19" t="n">
        <v>0.01</v>
      </c>
      <c r="AO8" s="20"/>
      <c r="AP8" s="20"/>
      <c r="AQ8" s="20"/>
      <c r="AR8" s="20"/>
      <c r="AS8" s="20"/>
      <c r="AT8" s="19" t="n">
        <v>6.99</v>
      </c>
      <c r="AU8" s="21" t="n">
        <v>19</v>
      </c>
      <c r="AV8" s="21" t="n">
        <v>267</v>
      </c>
      <c r="AW8" s="21" t="n">
        <v>133.5</v>
      </c>
      <c r="AX8" s="21" t="n">
        <v>1</v>
      </c>
      <c r="AY8" s="21" t="n">
        <v>0.01</v>
      </c>
    </row>
    <row r="9" customFormat="false" ht="15" hidden="false" customHeight="false" outlineLevel="0" collapsed="false">
      <c r="A9" s="16" t="n">
        <v>45294</v>
      </c>
      <c r="B9" s="22" t="s">
        <v>52</v>
      </c>
      <c r="C9" s="18" t="n">
        <v>8.23</v>
      </c>
      <c r="D9" s="19" t="n">
        <v>17.8</v>
      </c>
      <c r="E9" s="19" t="n">
        <v>54.8</v>
      </c>
      <c r="F9" s="19" t="n">
        <v>32.88</v>
      </c>
      <c r="G9" s="19" t="n">
        <v>0.67</v>
      </c>
      <c r="H9" s="19" t="n">
        <v>8.16</v>
      </c>
      <c r="I9" s="19" t="n">
        <v>17.9</v>
      </c>
      <c r="J9" s="19" t="n">
        <v>54.8</v>
      </c>
      <c r="K9" s="19" t="n">
        <v>32.88</v>
      </c>
      <c r="L9" s="19" t="n">
        <v>0.19</v>
      </c>
      <c r="M9" s="19" t="n">
        <v>8.16</v>
      </c>
      <c r="N9" s="19" t="n">
        <v>17.9</v>
      </c>
      <c r="O9" s="19" t="n">
        <v>54.8</v>
      </c>
      <c r="P9" s="19" t="n">
        <v>32.88</v>
      </c>
      <c r="Q9" s="19" t="n">
        <v>0.16</v>
      </c>
      <c r="R9" s="19" t="n">
        <v>8.17</v>
      </c>
      <c r="S9" s="19" t="n">
        <v>18</v>
      </c>
      <c r="T9" s="19" t="n">
        <v>54.7</v>
      </c>
      <c r="U9" s="19" t="n">
        <v>32.82</v>
      </c>
      <c r="V9" s="19" t="n">
        <v>0.01</v>
      </c>
      <c r="W9" s="19" t="n">
        <v>8.17</v>
      </c>
      <c r="X9" s="19" t="n">
        <v>18</v>
      </c>
      <c r="Y9" s="19" t="n">
        <v>54.7</v>
      </c>
      <c r="Z9" s="19" t="n">
        <v>32.82</v>
      </c>
      <c r="AA9" s="19" t="n">
        <v>0.01</v>
      </c>
      <c r="AB9" s="19" t="n">
        <v>8.12</v>
      </c>
      <c r="AC9" s="19" t="n">
        <v>16.6</v>
      </c>
      <c r="AD9" s="19" t="n">
        <v>55.3</v>
      </c>
      <c r="AE9" s="19" t="n">
        <v>33.18</v>
      </c>
      <c r="AF9" s="20"/>
      <c r="AG9" s="19" t="n">
        <v>0.01</v>
      </c>
      <c r="AH9" s="23"/>
      <c r="AI9" s="19" t="n">
        <v>8.12</v>
      </c>
      <c r="AJ9" s="19" t="n">
        <v>16.6</v>
      </c>
      <c r="AK9" s="19" t="n">
        <v>55.3</v>
      </c>
      <c r="AL9" s="19" t="n">
        <v>33.18</v>
      </c>
      <c r="AM9" s="19"/>
      <c r="AN9" s="19" t="s">
        <v>54</v>
      </c>
      <c r="AO9" s="19" t="n">
        <v>6.32</v>
      </c>
      <c r="AP9" s="19" t="n">
        <v>17.3</v>
      </c>
      <c r="AQ9" s="19" t="n">
        <v>191.6</v>
      </c>
      <c r="AR9" s="19" t="n">
        <v>95.8</v>
      </c>
      <c r="AS9" s="19" t="n">
        <v>0.01</v>
      </c>
      <c r="AT9" s="19" t="n">
        <v>6.94</v>
      </c>
      <c r="AU9" s="21" t="n">
        <v>17.7</v>
      </c>
      <c r="AV9" s="21" t="n">
        <v>268</v>
      </c>
      <c r="AW9" s="21" t="n">
        <v>134</v>
      </c>
      <c r="AX9" s="21"/>
      <c r="AY9" s="21" t="n">
        <v>0.01</v>
      </c>
    </row>
    <row r="10" customFormat="false" ht="15" hidden="false" customHeight="false" outlineLevel="0" collapsed="false">
      <c r="A10" s="16" t="n">
        <v>45294</v>
      </c>
      <c r="B10" s="22" t="s">
        <v>53</v>
      </c>
      <c r="C10" s="18" t="n">
        <v>8.21</v>
      </c>
      <c r="D10" s="19" t="n">
        <v>16.6</v>
      </c>
      <c r="E10" s="19" t="n">
        <v>54.6</v>
      </c>
      <c r="F10" s="19" t="n">
        <v>32.76</v>
      </c>
      <c r="G10" s="19" t="n">
        <v>1.14</v>
      </c>
      <c r="H10" s="19" t="n">
        <v>8.16</v>
      </c>
      <c r="I10" s="19" t="n">
        <v>17.7</v>
      </c>
      <c r="J10" s="19" t="n">
        <v>55</v>
      </c>
      <c r="K10" s="19" t="n">
        <v>33</v>
      </c>
      <c r="L10" s="19" t="n">
        <v>0.25</v>
      </c>
      <c r="M10" s="19" t="n">
        <v>8.16</v>
      </c>
      <c r="N10" s="19" t="n">
        <v>17.7</v>
      </c>
      <c r="O10" s="19" t="n">
        <v>55</v>
      </c>
      <c r="P10" s="19" t="n">
        <v>33</v>
      </c>
      <c r="Q10" s="19" t="n">
        <v>0.2</v>
      </c>
      <c r="R10" s="19" t="n">
        <v>8.17</v>
      </c>
      <c r="S10" s="19" t="n">
        <v>17.4</v>
      </c>
      <c r="T10" s="19" t="n">
        <v>55</v>
      </c>
      <c r="U10" s="19" t="n">
        <v>33</v>
      </c>
      <c r="V10" s="19" t="n">
        <v>0.01</v>
      </c>
      <c r="W10" s="19" t="n">
        <v>8.17</v>
      </c>
      <c r="X10" s="19" t="n">
        <v>17</v>
      </c>
      <c r="Y10" s="19" t="n">
        <v>55</v>
      </c>
      <c r="Z10" s="19" t="n">
        <v>33</v>
      </c>
      <c r="AA10" s="19" t="n">
        <v>0.01</v>
      </c>
      <c r="AB10" s="19" t="n">
        <v>8.15</v>
      </c>
      <c r="AC10" s="19" t="n">
        <v>17.2</v>
      </c>
      <c r="AD10" s="19" t="n">
        <v>55</v>
      </c>
      <c r="AE10" s="19" t="n">
        <v>33</v>
      </c>
      <c r="AF10" s="19"/>
      <c r="AG10" s="19" t="n">
        <v>0.01</v>
      </c>
      <c r="AH10" s="23"/>
      <c r="AI10" s="19" t="n">
        <v>8.15</v>
      </c>
      <c r="AJ10" s="19" t="n">
        <v>17.2</v>
      </c>
      <c r="AK10" s="19" t="n">
        <v>55</v>
      </c>
      <c r="AL10" s="19" t="n">
        <v>33</v>
      </c>
      <c r="AM10" s="19"/>
      <c r="AN10" s="19" t="n">
        <v>0.01</v>
      </c>
      <c r="AO10" s="19" t="n">
        <v>6.23</v>
      </c>
      <c r="AP10" s="19" t="n">
        <v>17.6</v>
      </c>
      <c r="AQ10" s="19" t="n">
        <v>238</v>
      </c>
      <c r="AR10" s="19" t="n">
        <v>119</v>
      </c>
      <c r="AS10" s="19" t="n">
        <v>0.01</v>
      </c>
      <c r="AT10" s="19" t="n">
        <v>6.9</v>
      </c>
      <c r="AU10" s="21" t="n">
        <v>18.2</v>
      </c>
      <c r="AV10" s="21" t="n">
        <v>268</v>
      </c>
      <c r="AW10" s="21" t="n">
        <v>133</v>
      </c>
      <c r="AX10" s="21" t="n">
        <v>1</v>
      </c>
      <c r="AY10" s="21" t="n">
        <v>0.01</v>
      </c>
    </row>
    <row r="11" customFormat="false" ht="15" hidden="false" customHeight="false" outlineLevel="0" collapsed="false">
      <c r="A11" s="16" t="n">
        <v>45295</v>
      </c>
      <c r="B11" s="17" t="s">
        <v>51</v>
      </c>
      <c r="C11" s="18" t="n">
        <v>8.21</v>
      </c>
      <c r="D11" s="19" t="n">
        <v>16</v>
      </c>
      <c r="E11" s="19" t="n">
        <v>55.1</v>
      </c>
      <c r="F11" s="19" t="n">
        <v>33.06</v>
      </c>
      <c r="G11" s="19" t="n">
        <v>0.45</v>
      </c>
      <c r="H11" s="19" t="n">
        <v>8.18</v>
      </c>
      <c r="I11" s="19" t="n">
        <v>16</v>
      </c>
      <c r="J11" s="19" t="n">
        <v>55.1</v>
      </c>
      <c r="K11" s="19" t="n">
        <v>33.06</v>
      </c>
      <c r="L11" s="19" t="n">
        <v>0.21</v>
      </c>
      <c r="M11" s="19" t="n">
        <v>8.16</v>
      </c>
      <c r="N11" s="19" t="n">
        <v>16.1</v>
      </c>
      <c r="O11" s="19" t="n">
        <v>55.1</v>
      </c>
      <c r="P11" s="19" t="n">
        <v>33.06</v>
      </c>
      <c r="Q11" s="19" t="n">
        <v>0.01</v>
      </c>
      <c r="R11" s="23" t="n">
        <v>8.16</v>
      </c>
      <c r="S11" s="23" t="n">
        <v>16.1</v>
      </c>
      <c r="T11" s="23" t="n">
        <v>55.1</v>
      </c>
      <c r="U11" s="23" t="n">
        <f aca="false">0.6*T11</f>
        <v>33.06</v>
      </c>
      <c r="V11" s="23" t="n">
        <v>0.01</v>
      </c>
      <c r="W11" s="23" t="n">
        <v>8.12</v>
      </c>
      <c r="X11" s="23" t="n">
        <v>16.2</v>
      </c>
      <c r="Y11" s="23" t="n">
        <v>55.1</v>
      </c>
      <c r="Z11" s="23" t="n">
        <f aca="false">Y11*0.6</f>
        <v>33.06</v>
      </c>
      <c r="AA11" s="23" t="n">
        <v>0.01</v>
      </c>
      <c r="AB11" s="23" t="n">
        <v>8.16</v>
      </c>
      <c r="AC11" s="23" t="n">
        <v>16.2</v>
      </c>
      <c r="AD11" s="23" t="n">
        <v>55.1</v>
      </c>
      <c r="AE11" s="23" t="n">
        <f aca="false">AD11*0.6</f>
        <v>33.06</v>
      </c>
      <c r="AF11" s="23"/>
      <c r="AG11" s="23" t="n">
        <v>0.01</v>
      </c>
      <c r="AH11" s="23"/>
      <c r="AI11" s="23" t="n">
        <v>6.29</v>
      </c>
      <c r="AJ11" s="23" t="n">
        <v>16.9</v>
      </c>
      <c r="AK11" s="23" t="n">
        <v>253</v>
      </c>
      <c r="AL11" s="23" t="n">
        <f aca="false">AK11*0.5</f>
        <v>126.5</v>
      </c>
      <c r="AM11" s="24"/>
      <c r="AN11" s="23" t="n">
        <v>0.01</v>
      </c>
      <c r="AO11" s="23" t="n">
        <v>6.29</v>
      </c>
      <c r="AP11" s="23" t="n">
        <v>16.9</v>
      </c>
      <c r="AQ11" s="23" t="n">
        <v>253</v>
      </c>
      <c r="AR11" s="23" t="n">
        <f aca="false">AQ11*0.5</f>
        <v>126.5</v>
      </c>
      <c r="AS11" s="23" t="n">
        <v>0.01</v>
      </c>
      <c r="AT11" s="23" t="n">
        <v>6.96</v>
      </c>
      <c r="AU11" s="23" t="n">
        <v>17.6</v>
      </c>
      <c r="AV11" s="23" t="n">
        <v>276</v>
      </c>
      <c r="AW11" s="23" t="n">
        <f aca="false">AV11*0.5</f>
        <v>138</v>
      </c>
      <c r="AX11" s="19" t="n">
        <v>1</v>
      </c>
      <c r="AY11" s="23" t="n">
        <v>0.01</v>
      </c>
    </row>
    <row r="12" customFormat="false" ht="15" hidden="false" customHeight="false" outlineLevel="0" collapsed="false">
      <c r="A12" s="16" t="n">
        <v>45295</v>
      </c>
      <c r="B12" s="22" t="s">
        <v>52</v>
      </c>
      <c r="C12" s="25" t="n">
        <v>8.21</v>
      </c>
      <c r="D12" s="23" t="n">
        <v>17.6</v>
      </c>
      <c r="E12" s="23" t="n">
        <v>54.7</v>
      </c>
      <c r="F12" s="23" t="n">
        <f aca="false">E12*0.6</f>
        <v>32.82</v>
      </c>
      <c r="G12" s="23" t="n">
        <v>0.33</v>
      </c>
      <c r="H12" s="23" t="n">
        <v>8.18</v>
      </c>
      <c r="I12" s="23" t="n">
        <v>16.5</v>
      </c>
      <c r="J12" s="23" t="n">
        <v>55.1</v>
      </c>
      <c r="K12" s="23" t="n">
        <f aca="false">J12*0.6</f>
        <v>33.06</v>
      </c>
      <c r="L12" s="23" t="n">
        <v>0.26</v>
      </c>
      <c r="M12" s="23" t="n">
        <v>8.19</v>
      </c>
      <c r="N12" s="23" t="n">
        <v>16.4</v>
      </c>
      <c r="O12" s="23" t="n">
        <v>55.1</v>
      </c>
      <c r="P12" s="23" t="n">
        <f aca="false">O12*0.6</f>
        <v>33.06</v>
      </c>
      <c r="Q12" s="23" t="n">
        <v>0.28</v>
      </c>
      <c r="R12" s="23" t="n">
        <v>8.18</v>
      </c>
      <c r="S12" s="23" t="n">
        <v>16.3</v>
      </c>
      <c r="T12" s="23" t="n">
        <v>55.1</v>
      </c>
      <c r="U12" s="23" t="n">
        <f aca="false">0.6*T12</f>
        <v>33.06</v>
      </c>
      <c r="V12" s="23" t="n">
        <v>0.01</v>
      </c>
      <c r="W12" s="23" t="n">
        <v>16.3</v>
      </c>
      <c r="X12" s="23" t="n">
        <v>55.1</v>
      </c>
      <c r="Y12" s="23" t="n">
        <f aca="false">0.6*X12</f>
        <v>33.06</v>
      </c>
      <c r="Z12" s="24"/>
      <c r="AA12" s="19"/>
      <c r="AB12" s="23" t="n">
        <v>8.17</v>
      </c>
      <c r="AC12" s="23" t="n">
        <v>16.4</v>
      </c>
      <c r="AD12" s="23" t="n">
        <v>55.2</v>
      </c>
      <c r="AE12" s="23" t="n">
        <f aca="false">AD12*0.6</f>
        <v>33.12</v>
      </c>
      <c r="AF12" s="23"/>
      <c r="AG12" s="23" t="n">
        <v>0.01</v>
      </c>
      <c r="AH12" s="23"/>
      <c r="AI12" s="23" t="n">
        <v>8.17</v>
      </c>
      <c r="AJ12" s="23" t="n">
        <v>16.3</v>
      </c>
      <c r="AK12" s="23" t="n">
        <v>55.2</v>
      </c>
      <c r="AL12" s="23" t="n">
        <f aca="false">0.6*AK12</f>
        <v>33.12</v>
      </c>
      <c r="AM12" s="23"/>
      <c r="AN12" s="23" t="n">
        <v>0.01</v>
      </c>
      <c r="AO12" s="23" t="n">
        <v>6.6</v>
      </c>
      <c r="AP12" s="23" t="n">
        <v>17.1</v>
      </c>
      <c r="AQ12" s="23" t="n">
        <v>205</v>
      </c>
      <c r="AR12" s="23" t="n">
        <f aca="false">AQ12*0.5</f>
        <v>102.5</v>
      </c>
      <c r="AS12" s="23" t="n">
        <v>0.01</v>
      </c>
      <c r="AT12" s="23" t="n">
        <v>7.08</v>
      </c>
      <c r="AU12" s="23" t="n">
        <v>17.3</v>
      </c>
      <c r="AV12" s="23" t="n">
        <v>310</v>
      </c>
      <c r="AW12" s="23" t="n">
        <f aca="false">AV12*0.5</f>
        <v>155</v>
      </c>
      <c r="AX12" s="19"/>
      <c r="AY12" s="23" t="n">
        <v>0.01</v>
      </c>
    </row>
    <row r="13" customFormat="false" ht="15" hidden="false" customHeight="false" outlineLevel="0" collapsed="false">
      <c r="A13" s="16" t="n">
        <v>45295</v>
      </c>
      <c r="B13" s="22" t="s">
        <v>53</v>
      </c>
      <c r="C13" s="25" t="n">
        <v>8.2</v>
      </c>
      <c r="D13" s="23" t="n">
        <v>17.2</v>
      </c>
      <c r="E13" s="23" t="n">
        <v>55</v>
      </c>
      <c r="F13" s="23" t="n">
        <f aca="false">E13*0.6</f>
        <v>33</v>
      </c>
      <c r="G13" s="23" t="n">
        <v>0.2</v>
      </c>
      <c r="H13" s="23" t="n">
        <v>8.2</v>
      </c>
      <c r="I13" s="23" t="n">
        <v>17</v>
      </c>
      <c r="J13" s="23" t="n">
        <v>55</v>
      </c>
      <c r="K13" s="23" t="n">
        <f aca="false">J13*0.6</f>
        <v>33</v>
      </c>
      <c r="L13" s="23" t="n">
        <v>0.36</v>
      </c>
      <c r="M13" s="23" t="n">
        <v>8.2</v>
      </c>
      <c r="N13" s="23" t="n">
        <v>17</v>
      </c>
      <c r="O13" s="23" t="n">
        <v>55</v>
      </c>
      <c r="P13" s="23" t="n">
        <v>33</v>
      </c>
      <c r="Q13" s="23" t="n">
        <v>0.28</v>
      </c>
      <c r="R13" s="19" t="n">
        <v>8.2</v>
      </c>
      <c r="S13" s="19" t="n">
        <v>17</v>
      </c>
      <c r="T13" s="19" t="n">
        <v>55</v>
      </c>
      <c r="U13" s="23" t="n">
        <v>33</v>
      </c>
      <c r="V13" s="19" t="n">
        <v>0.05</v>
      </c>
      <c r="W13" s="19" t="n">
        <v>8.2</v>
      </c>
      <c r="X13" s="19" t="n">
        <v>17</v>
      </c>
      <c r="Y13" s="19" t="n">
        <v>55</v>
      </c>
      <c r="Z13" s="23" t="n">
        <v>33</v>
      </c>
      <c r="AA13" s="19" t="n">
        <v>0.02</v>
      </c>
      <c r="AB13" s="23" t="n">
        <v>8.2</v>
      </c>
      <c r="AC13" s="23" t="n">
        <v>17</v>
      </c>
      <c r="AD13" s="23" t="n">
        <v>55</v>
      </c>
      <c r="AE13" s="23" t="n">
        <v>33</v>
      </c>
      <c r="AF13" s="23"/>
      <c r="AG13" s="23" t="n">
        <v>0.01</v>
      </c>
      <c r="AH13" s="23"/>
      <c r="AI13" s="23" t="n">
        <v>8.2</v>
      </c>
      <c r="AJ13" s="23" t="n">
        <v>17</v>
      </c>
      <c r="AK13" s="23" t="n">
        <v>55</v>
      </c>
      <c r="AL13" s="23" t="n">
        <v>33</v>
      </c>
      <c r="AM13" s="23"/>
      <c r="AN13" s="23" t="n">
        <v>0.01</v>
      </c>
      <c r="AO13" s="23" t="n">
        <v>6.2</v>
      </c>
      <c r="AP13" s="23" t="n">
        <v>17</v>
      </c>
      <c r="AQ13" s="23" t="n">
        <v>192.3</v>
      </c>
      <c r="AR13" s="23" t="n">
        <f aca="false">AQ13*0.5</f>
        <v>96.15</v>
      </c>
      <c r="AS13" s="23" t="n">
        <v>0.01</v>
      </c>
      <c r="AT13" s="23"/>
      <c r="AU13" s="23" t="n">
        <v>17.5</v>
      </c>
      <c r="AV13" s="23" t="n">
        <v>367</v>
      </c>
      <c r="AW13" s="23" t="n">
        <f aca="false">AV13*0.5</f>
        <v>183.5</v>
      </c>
      <c r="AX13" s="19" t="n">
        <v>1</v>
      </c>
      <c r="AY13" s="23" t="n">
        <v>0.01</v>
      </c>
    </row>
    <row r="14" customFormat="false" ht="15" hidden="false" customHeight="false" outlineLevel="0" collapsed="false">
      <c r="A14" s="16" t="n">
        <v>45296</v>
      </c>
      <c r="B14" s="17"/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0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21"/>
      <c r="AV14" s="21"/>
      <c r="AW14" s="21"/>
      <c r="AX14" s="21"/>
      <c r="AY14" s="21"/>
    </row>
    <row r="15" customFormat="false" ht="15" hidden="false" customHeight="false" outlineLevel="0" collapsed="false">
      <c r="A15" s="16" t="n">
        <v>45296</v>
      </c>
      <c r="B15" s="22"/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20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21"/>
      <c r="AV15" s="21"/>
      <c r="AW15" s="21"/>
      <c r="AX15" s="21"/>
      <c r="AY15" s="21"/>
    </row>
    <row r="16" customFormat="false" ht="15" hidden="false" customHeight="false" outlineLevel="0" collapsed="false">
      <c r="A16" s="16" t="n">
        <v>45296</v>
      </c>
      <c r="B16" s="22"/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20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21"/>
      <c r="AV16" s="21"/>
      <c r="AW16" s="21"/>
      <c r="AX16" s="21"/>
      <c r="AY16" s="21"/>
    </row>
    <row r="17" customFormat="false" ht="15" hidden="false" customHeight="false" outlineLevel="0" collapsed="false">
      <c r="A17" s="16" t="n">
        <v>45297</v>
      </c>
      <c r="B17" s="17"/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20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21"/>
      <c r="AV17" s="21"/>
      <c r="AW17" s="21"/>
      <c r="AX17" s="21"/>
      <c r="AY17" s="21"/>
    </row>
    <row r="18" customFormat="false" ht="15" hidden="false" customHeight="false" outlineLevel="0" collapsed="false">
      <c r="A18" s="16" t="n">
        <v>45297</v>
      </c>
      <c r="B18" s="22"/>
      <c r="C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0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21"/>
      <c r="AV18" s="21"/>
      <c r="AW18" s="21"/>
      <c r="AX18" s="21"/>
      <c r="AY18" s="21"/>
    </row>
    <row r="19" customFormat="false" ht="15" hidden="false" customHeight="false" outlineLevel="0" collapsed="false">
      <c r="A19" s="16" t="n">
        <v>45297</v>
      </c>
      <c r="B19" s="22"/>
      <c r="C19" s="18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21"/>
      <c r="AV19" s="21"/>
      <c r="AW19" s="21"/>
      <c r="AX19" s="21"/>
      <c r="AY19" s="21"/>
    </row>
    <row r="20" customFormat="false" ht="15" hidden="false" customHeight="false" outlineLevel="0" collapsed="false">
      <c r="A20" s="16" t="n">
        <v>45298</v>
      </c>
      <c r="B20" s="17" t="s">
        <v>51</v>
      </c>
      <c r="C20" s="25" t="n">
        <v>8.18</v>
      </c>
      <c r="D20" s="23" t="n">
        <v>16.3</v>
      </c>
      <c r="E20" s="23" t="n">
        <v>55.1</v>
      </c>
      <c r="F20" s="23" t="n">
        <f aca="false">0.6*E20</f>
        <v>33.06</v>
      </c>
      <c r="G20" s="23" t="n">
        <v>1.98</v>
      </c>
      <c r="H20" s="23" t="n">
        <v>8.19</v>
      </c>
      <c r="I20" s="23" t="n">
        <v>15.8</v>
      </c>
      <c r="J20" s="23" t="n">
        <v>55.1</v>
      </c>
      <c r="K20" s="23" t="n">
        <f aca="false">0.6*J20</f>
        <v>33.06</v>
      </c>
      <c r="L20" s="23" t="n">
        <v>1.63</v>
      </c>
      <c r="M20" s="23" t="n">
        <v>8.19</v>
      </c>
      <c r="N20" s="23" t="n">
        <v>15.8</v>
      </c>
      <c r="O20" s="23" t="n">
        <v>55.1</v>
      </c>
      <c r="P20" s="23" t="n">
        <f aca="false">0.6*O20</f>
        <v>33.06</v>
      </c>
      <c r="Q20" s="23" t="n">
        <v>1.63</v>
      </c>
      <c r="R20" s="23" t="n">
        <v>8.15</v>
      </c>
      <c r="S20" s="23" t="n">
        <v>15.8</v>
      </c>
      <c r="T20" s="23" t="n">
        <v>55.1</v>
      </c>
      <c r="U20" s="23" t="n">
        <f aca="false">0.6*T20</f>
        <v>33.06</v>
      </c>
      <c r="V20" s="23" t="n">
        <v>0.01</v>
      </c>
      <c r="W20" s="23" t="n">
        <v>8.15</v>
      </c>
      <c r="X20" s="23" t="n">
        <v>15.8</v>
      </c>
      <c r="Y20" s="23" t="n">
        <v>55.1</v>
      </c>
      <c r="Z20" s="23" t="n">
        <f aca="false">0.6*Y20</f>
        <v>33.06</v>
      </c>
      <c r="AA20" s="23" t="n">
        <v>0.02</v>
      </c>
      <c r="AB20" s="23" t="n">
        <v>8.1</v>
      </c>
      <c r="AC20" s="23" t="n">
        <v>16</v>
      </c>
      <c r="AD20" s="23" t="n">
        <v>55.1</v>
      </c>
      <c r="AE20" s="23" t="n">
        <f aca="false">AD20*0.6</f>
        <v>33.06</v>
      </c>
      <c r="AF20" s="23"/>
      <c r="AG20" s="23" t="n">
        <v>0.01</v>
      </c>
      <c r="AH20" s="23"/>
      <c r="AI20" s="23" t="n">
        <v>810</v>
      </c>
      <c r="AJ20" s="23" t="n">
        <v>16</v>
      </c>
      <c r="AK20" s="23" t="n">
        <v>55.1</v>
      </c>
      <c r="AL20" s="23" t="n">
        <f aca="false">AK20*0.6</f>
        <v>33.06</v>
      </c>
      <c r="AM20" s="23"/>
      <c r="AN20" s="23" t="n">
        <v>0.01</v>
      </c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</row>
    <row r="21" customFormat="false" ht="15" hidden="false" customHeight="false" outlineLevel="0" collapsed="false">
      <c r="A21" s="16" t="n">
        <v>45298</v>
      </c>
      <c r="B21" s="22" t="s">
        <v>52</v>
      </c>
      <c r="C21" s="25" t="n">
        <v>8.22</v>
      </c>
      <c r="D21" s="23" t="n">
        <v>15.9</v>
      </c>
      <c r="E21" s="23" t="n">
        <v>55</v>
      </c>
      <c r="F21" s="23" t="n">
        <f aca="false">E21*0.6</f>
        <v>33</v>
      </c>
      <c r="G21" s="23" t="n">
        <v>3.41</v>
      </c>
      <c r="H21" s="23" t="n">
        <v>8.19</v>
      </c>
      <c r="I21" s="23" t="n">
        <v>15.8</v>
      </c>
      <c r="J21" s="23" t="n">
        <v>55</v>
      </c>
      <c r="K21" s="23" t="n">
        <f aca="false">J21*0.6</f>
        <v>33</v>
      </c>
      <c r="L21" s="23" t="n">
        <v>1.91</v>
      </c>
      <c r="M21" s="23" t="n">
        <v>8.19</v>
      </c>
      <c r="N21" s="23" t="n">
        <v>15.8</v>
      </c>
      <c r="O21" s="23" t="n">
        <v>55</v>
      </c>
      <c r="P21" s="23" t="n">
        <f aca="false">O21*0.6</f>
        <v>33</v>
      </c>
      <c r="Q21" s="23" t="n">
        <v>1.81</v>
      </c>
      <c r="R21" s="23" t="n">
        <v>8.17</v>
      </c>
      <c r="S21" s="23" t="n">
        <v>16</v>
      </c>
      <c r="T21" s="23" t="n">
        <v>55</v>
      </c>
      <c r="U21" s="23" t="n">
        <f aca="false">0.6*T21</f>
        <v>33</v>
      </c>
      <c r="V21" s="23" t="n">
        <v>0.01</v>
      </c>
      <c r="W21" s="23" t="n">
        <v>8.17</v>
      </c>
      <c r="X21" s="23" t="n">
        <v>16</v>
      </c>
      <c r="Y21" s="23" t="n">
        <v>55</v>
      </c>
      <c r="Z21" s="23" t="n">
        <f aca="false">0.6*Y21</f>
        <v>33</v>
      </c>
      <c r="AA21" s="23" t="n">
        <v>0.02</v>
      </c>
      <c r="AB21" s="23" t="n">
        <v>8.1</v>
      </c>
      <c r="AC21" s="23" t="n">
        <v>16.3</v>
      </c>
      <c r="AD21" s="23" t="n">
        <v>55.2</v>
      </c>
      <c r="AE21" s="23" t="n">
        <f aca="false">AD21*0.6</f>
        <v>33.12</v>
      </c>
      <c r="AF21" s="23"/>
      <c r="AG21" s="23" t="n">
        <v>0.01</v>
      </c>
      <c r="AH21" s="23"/>
      <c r="AI21" s="23" t="n">
        <v>8.1</v>
      </c>
      <c r="AJ21" s="23" t="n">
        <v>16.3</v>
      </c>
      <c r="AK21" s="23" t="n">
        <v>55.2</v>
      </c>
      <c r="AL21" s="23" t="n">
        <f aca="false">0.6*AK21</f>
        <v>33.12</v>
      </c>
      <c r="AM21" s="23"/>
      <c r="AN21" s="23" t="n">
        <v>0.01</v>
      </c>
      <c r="AO21" s="19"/>
      <c r="AP21" s="19"/>
      <c r="AQ21" s="19"/>
      <c r="AR21" s="19"/>
      <c r="AS21" s="19"/>
      <c r="AT21" s="19"/>
      <c r="AU21" s="21"/>
      <c r="AV21" s="21"/>
      <c r="AW21" s="21"/>
      <c r="AX21" s="21"/>
      <c r="AY21" s="21"/>
    </row>
    <row r="22" customFormat="false" ht="15" hidden="false" customHeight="false" outlineLevel="0" collapsed="false">
      <c r="A22" s="16" t="n">
        <v>45298</v>
      </c>
      <c r="B22" s="22" t="s">
        <v>53</v>
      </c>
      <c r="C22" s="25" t="n">
        <v>8.19</v>
      </c>
      <c r="D22" s="23" t="n">
        <v>17.3</v>
      </c>
      <c r="E22" s="23" t="n">
        <v>55</v>
      </c>
      <c r="F22" s="23" t="n">
        <f aca="false">E22*0.6</f>
        <v>33</v>
      </c>
      <c r="G22" s="23" t="n">
        <v>5.87</v>
      </c>
      <c r="H22" s="23" t="n">
        <v>8.18</v>
      </c>
      <c r="I22" s="23" t="n">
        <v>15.6</v>
      </c>
      <c r="J22" s="23" t="n">
        <v>55.1</v>
      </c>
      <c r="K22" s="23" t="n">
        <f aca="false">J22*0.6</f>
        <v>33.06</v>
      </c>
      <c r="L22" s="23" t="n">
        <v>2.79</v>
      </c>
      <c r="M22" s="23" t="n">
        <v>8.18</v>
      </c>
      <c r="N22" s="23" t="n">
        <v>15.6</v>
      </c>
      <c r="O22" s="23" t="n">
        <v>55.1</v>
      </c>
      <c r="P22" s="23" t="n">
        <f aca="false">O22*0.6</f>
        <v>33.06</v>
      </c>
      <c r="Q22" s="23" t="n">
        <v>2.79</v>
      </c>
      <c r="R22" s="19" t="n">
        <v>8.17</v>
      </c>
      <c r="S22" s="19" t="n">
        <v>15.9</v>
      </c>
      <c r="T22" s="19" t="n">
        <v>55.1</v>
      </c>
      <c r="U22" s="23" t="n">
        <f aca="false">T22*0.6</f>
        <v>33.06</v>
      </c>
      <c r="V22" s="19" t="n">
        <v>0.01</v>
      </c>
      <c r="W22" s="19" t="n">
        <v>8.17</v>
      </c>
      <c r="X22" s="19" t="n">
        <v>15.9</v>
      </c>
      <c r="Y22" s="19" t="n">
        <v>55.1</v>
      </c>
      <c r="Z22" s="23" t="n">
        <f aca="false">Y22*0.6</f>
        <v>33.06</v>
      </c>
      <c r="AA22" s="19" t="n">
        <v>0.01</v>
      </c>
      <c r="AB22" s="23" t="n">
        <v>8.1</v>
      </c>
      <c r="AC22" s="23" t="n">
        <v>16</v>
      </c>
      <c r="AD22" s="23" t="n">
        <v>55</v>
      </c>
      <c r="AE22" s="23" t="n">
        <v>33</v>
      </c>
      <c r="AF22" s="23"/>
      <c r="AG22" s="23" t="n">
        <v>0.01</v>
      </c>
      <c r="AH22" s="23"/>
      <c r="AI22" s="23" t="n">
        <v>8.1</v>
      </c>
      <c r="AJ22" s="23" t="n">
        <v>16</v>
      </c>
      <c r="AK22" s="23" t="n">
        <v>55</v>
      </c>
      <c r="AL22" s="23" t="n">
        <v>33</v>
      </c>
      <c r="AM22" s="23"/>
      <c r="AN22" s="23" t="n">
        <v>0.01</v>
      </c>
      <c r="AO22" s="23" t="n">
        <v>6.98</v>
      </c>
      <c r="AP22" s="23" t="n">
        <v>16.9</v>
      </c>
      <c r="AQ22" s="23" t="n">
        <v>213</v>
      </c>
      <c r="AR22" s="23" t="n">
        <f aca="false">AQ22*0.5</f>
        <v>106.5</v>
      </c>
      <c r="AS22" s="23" t="n">
        <v>0.01</v>
      </c>
      <c r="AT22" s="23" t="n">
        <v>7.17</v>
      </c>
      <c r="AU22" s="23" t="n">
        <v>17.2</v>
      </c>
      <c r="AV22" s="23" t="n">
        <v>413</v>
      </c>
      <c r="AW22" s="23" t="n">
        <f aca="false">AV22*0.5</f>
        <v>206.5</v>
      </c>
      <c r="AX22" s="27" t="n">
        <v>1.4</v>
      </c>
      <c r="AY22" s="23" t="n">
        <v>0.01</v>
      </c>
    </row>
    <row r="23" customFormat="false" ht="15" hidden="false" customHeight="false" outlineLevel="0" collapsed="false">
      <c r="A23" s="16" t="n">
        <v>45299</v>
      </c>
      <c r="B23" s="17" t="s">
        <v>51</v>
      </c>
      <c r="C23" s="25" t="n">
        <v>8.23</v>
      </c>
      <c r="D23" s="23" t="n">
        <v>16.2</v>
      </c>
      <c r="E23" s="23" t="n">
        <v>55</v>
      </c>
      <c r="F23" s="23" t="n">
        <v>33</v>
      </c>
      <c r="G23" s="23" t="n">
        <v>3.25</v>
      </c>
      <c r="H23" s="23" t="n">
        <v>8.13</v>
      </c>
      <c r="I23" s="23" t="n">
        <v>16.3</v>
      </c>
      <c r="J23" s="23" t="n">
        <v>55</v>
      </c>
      <c r="K23" s="23" t="n">
        <f aca="false">0.6*J23</f>
        <v>33</v>
      </c>
      <c r="L23" s="23" t="n">
        <v>1.25</v>
      </c>
      <c r="M23" s="23" t="n">
        <v>8.13</v>
      </c>
      <c r="N23" s="23" t="n">
        <v>16.3</v>
      </c>
      <c r="O23" s="23" t="n">
        <v>55</v>
      </c>
      <c r="P23" s="23" t="n">
        <f aca="false">0.6*O23</f>
        <v>33</v>
      </c>
      <c r="Q23" s="23" t="n">
        <v>1.35</v>
      </c>
      <c r="R23" s="23" t="n">
        <v>8.1</v>
      </c>
      <c r="S23" s="23" t="n">
        <v>16.5</v>
      </c>
      <c r="T23" s="23" t="n">
        <v>54.9</v>
      </c>
      <c r="U23" s="23" t="n">
        <f aca="false">0.6*T23</f>
        <v>32.94</v>
      </c>
      <c r="V23" s="23" t="n">
        <v>0.01</v>
      </c>
      <c r="W23" s="23" t="n">
        <v>8.09</v>
      </c>
      <c r="X23" s="23" t="n">
        <v>16.9</v>
      </c>
      <c r="Y23" s="23" t="n">
        <v>54.9</v>
      </c>
      <c r="Z23" s="23" t="n">
        <f aca="false">0.6*Y23</f>
        <v>32.94</v>
      </c>
      <c r="AA23" s="23" t="n">
        <v>0.01</v>
      </c>
      <c r="AB23" s="23" t="n">
        <v>8.05</v>
      </c>
      <c r="AC23" s="23" t="n">
        <v>17</v>
      </c>
      <c r="AD23" s="23" t="n">
        <v>54.9</v>
      </c>
      <c r="AE23" s="23" t="n">
        <f aca="false">AD23*0.6</f>
        <v>32.94</v>
      </c>
      <c r="AF23" s="23" t="n">
        <v>0</v>
      </c>
      <c r="AG23" s="23" t="n">
        <v>0.01</v>
      </c>
      <c r="AH23" s="23"/>
      <c r="AI23" s="23" t="n">
        <v>8.05</v>
      </c>
      <c r="AJ23" s="23" t="n">
        <v>17</v>
      </c>
      <c r="AK23" s="23" t="n">
        <v>54.9</v>
      </c>
      <c r="AL23" s="23" t="n">
        <f aca="false">AK23*0.6</f>
        <v>32.94</v>
      </c>
      <c r="AM23" s="23" t="n">
        <v>0</v>
      </c>
      <c r="AN23" s="23" t="n">
        <v>0.01</v>
      </c>
      <c r="AO23" s="28" t="n">
        <v>5.84</v>
      </c>
      <c r="AP23" s="23" t="n">
        <v>16.5</v>
      </c>
      <c r="AQ23" s="23" t="n">
        <v>228</v>
      </c>
      <c r="AR23" s="23" t="n">
        <f aca="false">AQ23*0.5</f>
        <v>114</v>
      </c>
      <c r="AS23" s="23" t="n">
        <v>0.01</v>
      </c>
      <c r="AT23" s="23" t="n">
        <v>7.05</v>
      </c>
      <c r="AU23" s="23" t="n">
        <v>16.8</v>
      </c>
      <c r="AV23" s="23" t="n">
        <v>265</v>
      </c>
      <c r="AW23" s="23" t="n">
        <f aca="false">AV23*0.5</f>
        <v>132.5</v>
      </c>
      <c r="AX23" s="19"/>
      <c r="AY23" s="23" t="n">
        <v>0.01</v>
      </c>
    </row>
    <row r="24" customFormat="false" ht="15" hidden="false" customHeight="false" outlineLevel="0" collapsed="false">
      <c r="A24" s="16" t="n">
        <v>45299</v>
      </c>
      <c r="B24" s="22" t="s">
        <v>52</v>
      </c>
      <c r="C24" s="25" t="n">
        <v>8.11</v>
      </c>
      <c r="D24" s="23" t="n">
        <v>16.2</v>
      </c>
      <c r="E24" s="23" t="n">
        <v>55</v>
      </c>
      <c r="F24" s="23" t="n">
        <f aca="false">E24*0.6</f>
        <v>33</v>
      </c>
      <c r="G24" s="23" t="n">
        <v>5.13</v>
      </c>
      <c r="H24" s="23" t="n">
        <v>8.1</v>
      </c>
      <c r="I24" s="23" t="n">
        <v>16.3</v>
      </c>
      <c r="J24" s="23" t="n">
        <v>55</v>
      </c>
      <c r="K24" s="23" t="n">
        <f aca="false">J24*0.6</f>
        <v>33</v>
      </c>
      <c r="L24" s="23" t="n">
        <v>2.57</v>
      </c>
      <c r="M24" s="23" t="n">
        <v>8.1</v>
      </c>
      <c r="N24" s="23" t="n">
        <v>16.3</v>
      </c>
      <c r="O24" s="23" t="n">
        <v>55</v>
      </c>
      <c r="P24" s="23" t="n">
        <f aca="false">O24*0.6</f>
        <v>33</v>
      </c>
      <c r="Q24" s="23" t="n">
        <v>2.15</v>
      </c>
      <c r="R24" s="23" t="n">
        <v>8</v>
      </c>
      <c r="S24" s="23" t="n">
        <v>16.5</v>
      </c>
      <c r="T24" s="23" t="n">
        <v>54.9</v>
      </c>
      <c r="U24" s="23" t="n">
        <f aca="false">0.6*T24</f>
        <v>32.94</v>
      </c>
      <c r="V24" s="23" t="n">
        <v>0.01</v>
      </c>
      <c r="W24" s="23" t="n">
        <v>8</v>
      </c>
      <c r="X24" s="23" t="n">
        <v>16.5</v>
      </c>
      <c r="Y24" s="23" t="n">
        <v>54.9</v>
      </c>
      <c r="Z24" s="23" t="n">
        <f aca="false">0.6*Y24</f>
        <v>32.94</v>
      </c>
      <c r="AA24" s="23" t="n">
        <v>0.02</v>
      </c>
      <c r="AB24" s="23" t="n">
        <v>8.04</v>
      </c>
      <c r="AC24" s="23" t="n">
        <v>16.8</v>
      </c>
      <c r="AD24" s="23" t="n">
        <v>54.9</v>
      </c>
      <c r="AE24" s="23" t="n">
        <f aca="false">AD24*0.6</f>
        <v>32.94</v>
      </c>
      <c r="AF24" s="23" t="n">
        <v>0</v>
      </c>
      <c r="AG24" s="23" t="n">
        <v>0.01</v>
      </c>
      <c r="AH24" s="23"/>
      <c r="AI24" s="23" t="n">
        <v>8.04</v>
      </c>
      <c r="AJ24" s="23" t="n">
        <v>16.8</v>
      </c>
      <c r="AK24" s="23" t="n">
        <v>54.9</v>
      </c>
      <c r="AL24" s="23" t="n">
        <f aca="false">0.6*AK24</f>
        <v>32.94</v>
      </c>
      <c r="AM24" s="23" t="n">
        <v>0</v>
      </c>
      <c r="AN24" s="23" t="n">
        <v>0.01</v>
      </c>
      <c r="AO24" s="2" t="n">
        <v>6</v>
      </c>
      <c r="AP24" s="23" t="n">
        <v>16.9</v>
      </c>
      <c r="AQ24" s="23" t="n">
        <v>233</v>
      </c>
      <c r="AR24" s="23" t="n">
        <f aca="false">AQ24*0.5</f>
        <v>116.5</v>
      </c>
      <c r="AS24" s="23" t="n">
        <v>0.01</v>
      </c>
      <c r="AT24" s="23" t="n">
        <v>7.12</v>
      </c>
      <c r="AU24" s="23" t="n">
        <v>17</v>
      </c>
      <c r="AV24" s="23" t="n">
        <v>288</v>
      </c>
      <c r="AW24" s="23" t="n">
        <f aca="false">AV24*0.5</f>
        <v>144</v>
      </c>
      <c r="AX24" s="19" t="n">
        <v>1.2</v>
      </c>
      <c r="AY24" s="23" t="n">
        <v>0.01</v>
      </c>
    </row>
    <row r="25" customFormat="false" ht="15" hidden="false" customHeight="false" outlineLevel="0" collapsed="false">
      <c r="A25" s="16" t="n">
        <v>45299</v>
      </c>
      <c r="B25" s="22" t="s">
        <v>53</v>
      </c>
      <c r="C25" s="25" t="n">
        <v>8.21</v>
      </c>
      <c r="D25" s="23" t="n">
        <v>16.2</v>
      </c>
      <c r="E25" s="23" t="n">
        <v>55.1</v>
      </c>
      <c r="F25" s="23" t="n">
        <f aca="false">E25*0.6</f>
        <v>33.06</v>
      </c>
      <c r="G25" s="23" t="n">
        <v>3.98</v>
      </c>
      <c r="H25" s="23" t="n">
        <v>8.13</v>
      </c>
      <c r="I25" s="23" t="n">
        <v>16</v>
      </c>
      <c r="J25" s="23" t="n">
        <v>55.1</v>
      </c>
      <c r="K25" s="23" t="n">
        <f aca="false">J25*0.6</f>
        <v>33.06</v>
      </c>
      <c r="L25" s="23" t="n">
        <v>4.06</v>
      </c>
      <c r="M25" s="23" t="n">
        <v>8.13</v>
      </c>
      <c r="N25" s="23" t="n">
        <v>16</v>
      </c>
      <c r="O25" s="23" t="n">
        <v>55.1</v>
      </c>
      <c r="P25" s="23" t="n">
        <f aca="false">O25*0.6</f>
        <v>33.06</v>
      </c>
      <c r="Q25" s="23" t="n">
        <v>4.11</v>
      </c>
      <c r="R25" s="19" t="n">
        <v>8.11</v>
      </c>
      <c r="S25" s="19" t="n">
        <v>16</v>
      </c>
      <c r="T25" s="19" t="n">
        <v>55</v>
      </c>
      <c r="U25" s="23" t="n">
        <v>33</v>
      </c>
      <c r="V25" s="19" t="n">
        <v>0.01</v>
      </c>
      <c r="W25" s="19" t="n">
        <v>8.11</v>
      </c>
      <c r="X25" s="19" t="n">
        <v>16</v>
      </c>
      <c r="Y25" s="19" t="n">
        <v>55</v>
      </c>
      <c r="Z25" s="23" t="n">
        <v>33</v>
      </c>
      <c r="AA25" s="19" t="n">
        <v>0.02</v>
      </c>
      <c r="AB25" s="23" t="n">
        <v>8.11</v>
      </c>
      <c r="AC25" s="23" t="n">
        <v>16</v>
      </c>
      <c r="AD25" s="23" t="n">
        <v>55</v>
      </c>
      <c r="AE25" s="23" t="n">
        <v>33</v>
      </c>
      <c r="AF25" s="23" t="n">
        <v>0</v>
      </c>
      <c r="AG25" s="23" t="n">
        <v>0.01</v>
      </c>
      <c r="AH25" s="23"/>
      <c r="AI25" s="23" t="n">
        <v>8.11</v>
      </c>
      <c r="AJ25" s="23" t="n">
        <v>16</v>
      </c>
      <c r="AK25" s="23" t="n">
        <v>55</v>
      </c>
      <c r="AL25" s="23" t="n">
        <v>33</v>
      </c>
      <c r="AM25" s="23" t="n">
        <v>0</v>
      </c>
      <c r="AN25" s="23" t="n">
        <v>0.01</v>
      </c>
      <c r="AO25" s="2" t="n">
        <v>6.8</v>
      </c>
      <c r="AP25" s="23" t="n">
        <v>16.8</v>
      </c>
      <c r="AQ25" s="23" t="n">
        <v>199</v>
      </c>
      <c r="AR25" s="23" t="n">
        <f aca="false">AQ25*0.5</f>
        <v>99.5</v>
      </c>
      <c r="AS25" s="23" t="n">
        <v>0.01</v>
      </c>
      <c r="AT25" s="23" t="n">
        <v>7.02</v>
      </c>
      <c r="AU25" s="23" t="n">
        <v>17</v>
      </c>
      <c r="AV25" s="23" t="n">
        <v>278</v>
      </c>
      <c r="AW25" s="23" t="n">
        <f aca="false">AV25*0.5</f>
        <v>139</v>
      </c>
      <c r="AX25" s="19" t="n">
        <v>1.5</v>
      </c>
      <c r="AY25" s="23" t="n">
        <v>0.01</v>
      </c>
    </row>
    <row r="26" customFormat="false" ht="15" hidden="false" customHeight="false" outlineLevel="0" collapsed="false">
      <c r="A26" s="16" t="n">
        <v>45300</v>
      </c>
      <c r="B26" s="17" t="s">
        <v>51</v>
      </c>
      <c r="C26" s="25" t="n">
        <v>8.23</v>
      </c>
      <c r="D26" s="23" t="n">
        <v>15</v>
      </c>
      <c r="E26" s="23" t="n">
        <v>55</v>
      </c>
      <c r="F26" s="23" t="n">
        <v>33</v>
      </c>
      <c r="G26" s="23" t="n">
        <v>3.01</v>
      </c>
      <c r="H26" s="23" t="n">
        <v>8.22</v>
      </c>
      <c r="I26" s="23" t="n">
        <v>15.2</v>
      </c>
      <c r="J26" s="23" t="n">
        <v>55</v>
      </c>
      <c r="K26" s="23" t="n">
        <f aca="false">0.6*J26</f>
        <v>33</v>
      </c>
      <c r="L26" s="23" t="n">
        <v>3.01</v>
      </c>
      <c r="M26" s="23" t="n">
        <v>8.22</v>
      </c>
      <c r="N26" s="23" t="n">
        <v>15.2</v>
      </c>
      <c r="O26" s="23" t="n">
        <v>55</v>
      </c>
      <c r="P26" s="23" t="n">
        <f aca="false">0.6*O26</f>
        <v>33</v>
      </c>
      <c r="Q26" s="23" t="n">
        <v>3.02</v>
      </c>
      <c r="R26" s="23" t="n">
        <v>8.2</v>
      </c>
      <c r="S26" s="23" t="n">
        <v>15.5</v>
      </c>
      <c r="T26" s="23" t="n">
        <v>54.9</v>
      </c>
      <c r="U26" s="23" t="n">
        <f aca="false">0.6*T26</f>
        <v>32.94</v>
      </c>
      <c r="V26" s="23" t="n">
        <v>0.01</v>
      </c>
      <c r="W26" s="23" t="n">
        <v>8.2</v>
      </c>
      <c r="X26" s="23" t="n">
        <v>15.5</v>
      </c>
      <c r="Y26" s="23" t="n">
        <v>54.9</v>
      </c>
      <c r="Z26" s="23" t="n">
        <f aca="false">0.6*Y26</f>
        <v>32.94</v>
      </c>
      <c r="AA26" s="23" t="n">
        <v>0.01</v>
      </c>
      <c r="AB26" s="23" t="n">
        <v>8.13</v>
      </c>
      <c r="AC26" s="23" t="n">
        <v>15.5</v>
      </c>
      <c r="AD26" s="23" t="n">
        <v>54.9</v>
      </c>
      <c r="AE26" s="23" t="n">
        <f aca="false">AD26*0.6</f>
        <v>32.94</v>
      </c>
      <c r="AF26" s="23" t="n">
        <v>0</v>
      </c>
      <c r="AG26" s="23" t="n">
        <v>0.01</v>
      </c>
      <c r="AH26" s="23"/>
      <c r="AI26" s="23" t="n">
        <v>8.11</v>
      </c>
      <c r="AJ26" s="23" t="n">
        <v>15.5</v>
      </c>
      <c r="AK26" s="23" t="n">
        <v>54.9</v>
      </c>
      <c r="AL26" s="23" t="n">
        <f aca="false">AK26*0.6</f>
        <v>32.94</v>
      </c>
      <c r="AM26" s="23" t="n">
        <v>0</v>
      </c>
      <c r="AN26" s="23" t="n">
        <v>0.01</v>
      </c>
      <c r="AO26" s="2" t="n">
        <v>6.46</v>
      </c>
      <c r="AP26" s="23" t="n">
        <v>16.1</v>
      </c>
      <c r="AQ26" s="23" t="n">
        <v>236</v>
      </c>
      <c r="AR26" s="23" t="n">
        <f aca="false">AQ26*0.5</f>
        <v>118</v>
      </c>
      <c r="AS26" s="23" t="n">
        <v>0.01</v>
      </c>
      <c r="AT26" s="23" t="n">
        <v>7.1</v>
      </c>
      <c r="AU26" s="23" t="n">
        <v>16.5</v>
      </c>
      <c r="AV26" s="23" t="n">
        <v>260</v>
      </c>
      <c r="AW26" s="23" t="n">
        <f aca="false">AV26*0.5</f>
        <v>130</v>
      </c>
      <c r="AX26" s="19" t="n">
        <v>0.8</v>
      </c>
      <c r="AY26" s="23" t="n">
        <v>0.01</v>
      </c>
    </row>
    <row r="27" customFormat="false" ht="15" hidden="false" customHeight="false" outlineLevel="0" collapsed="false">
      <c r="A27" s="16" t="n">
        <v>45300</v>
      </c>
      <c r="B27" s="22" t="s">
        <v>52</v>
      </c>
      <c r="C27" s="25" t="n">
        <v>8.21</v>
      </c>
      <c r="D27" s="23" t="n">
        <v>15.4</v>
      </c>
      <c r="E27" s="23" t="n">
        <v>55.1</v>
      </c>
      <c r="F27" s="23" t="n">
        <f aca="false">E27*0.6</f>
        <v>33.06</v>
      </c>
      <c r="G27" s="23" t="n">
        <v>2.39</v>
      </c>
      <c r="H27" s="23" t="n">
        <v>8.18</v>
      </c>
      <c r="I27" s="23" t="n">
        <v>15.4</v>
      </c>
      <c r="J27" s="23" t="n">
        <v>55.2</v>
      </c>
      <c r="K27" s="23" t="n">
        <f aca="false">J27*0.6</f>
        <v>33.12</v>
      </c>
      <c r="L27" s="23" t="n">
        <v>2.84</v>
      </c>
      <c r="M27" s="23" t="n">
        <v>8.18</v>
      </c>
      <c r="N27" s="23" t="n">
        <v>15.4</v>
      </c>
      <c r="O27" s="23" t="n">
        <v>55.2</v>
      </c>
      <c r="P27" s="23" t="n">
        <f aca="false">O27*0.6</f>
        <v>33.12</v>
      </c>
      <c r="Q27" s="23" t="n">
        <v>2.79</v>
      </c>
      <c r="R27" s="23" t="n">
        <v>8.16</v>
      </c>
      <c r="S27" s="23" t="n">
        <v>15.5</v>
      </c>
      <c r="T27" s="23" t="n">
        <v>55.2</v>
      </c>
      <c r="U27" s="23" t="n">
        <f aca="false">0.6*T27</f>
        <v>33.12</v>
      </c>
      <c r="V27" s="23" t="n">
        <v>0.02</v>
      </c>
      <c r="W27" s="23" t="n">
        <v>8.16</v>
      </c>
      <c r="X27" s="23" t="n">
        <v>15.5</v>
      </c>
      <c r="Y27" s="23" t="n">
        <v>55.2</v>
      </c>
      <c r="Z27" s="23" t="n">
        <f aca="false">0.6*Y27</f>
        <v>33.12</v>
      </c>
      <c r="AA27" s="23" t="n">
        <v>0.01</v>
      </c>
      <c r="AB27" s="23" t="n">
        <v>8.13</v>
      </c>
      <c r="AC27" s="23" t="n">
        <v>15.6</v>
      </c>
      <c r="AD27" s="23" t="n">
        <v>55.2</v>
      </c>
      <c r="AE27" s="23" t="n">
        <f aca="false">AD27*0.6</f>
        <v>33.12</v>
      </c>
      <c r="AF27" s="23" t="n">
        <v>0</v>
      </c>
      <c r="AG27" s="23" t="n">
        <v>0.01</v>
      </c>
      <c r="AH27" s="23"/>
      <c r="AI27" s="23" t="n">
        <v>8.13</v>
      </c>
      <c r="AJ27" s="23" t="n">
        <v>15.6</v>
      </c>
      <c r="AK27" s="23" t="n">
        <v>55.2</v>
      </c>
      <c r="AL27" s="23" t="n">
        <f aca="false">0.6*AK27</f>
        <v>33.12</v>
      </c>
      <c r="AM27" s="23" t="n">
        <v>0</v>
      </c>
      <c r="AN27" s="23" t="n">
        <v>0.01</v>
      </c>
      <c r="AO27" s="2" t="n">
        <v>6.23</v>
      </c>
      <c r="AP27" s="23" t="n">
        <v>15.8</v>
      </c>
      <c r="AQ27" s="23" t="n">
        <v>246</v>
      </c>
      <c r="AR27" s="23" t="n">
        <f aca="false">AQ27*0.5</f>
        <v>123</v>
      </c>
      <c r="AS27" s="23" t="n">
        <v>0.01</v>
      </c>
      <c r="AT27" s="23" t="n">
        <v>7.09</v>
      </c>
      <c r="AU27" s="23" t="n">
        <v>16.1</v>
      </c>
      <c r="AV27" s="23" t="n">
        <v>253</v>
      </c>
      <c r="AW27" s="23" t="n">
        <f aca="false">AV27*0.5</f>
        <v>126.5</v>
      </c>
      <c r="AX27" s="19"/>
      <c r="AY27" s="23" t="n">
        <v>0.01</v>
      </c>
    </row>
    <row r="28" customFormat="false" ht="15" hidden="false" customHeight="false" outlineLevel="0" collapsed="false">
      <c r="A28" s="16" t="n">
        <v>45300</v>
      </c>
      <c r="B28" s="22" t="s">
        <v>53</v>
      </c>
      <c r="C28" s="25" t="n">
        <v>8.22</v>
      </c>
      <c r="D28" s="23" t="n">
        <v>16.2</v>
      </c>
      <c r="E28" s="23" t="n">
        <v>55.4</v>
      </c>
      <c r="F28" s="23" t="n">
        <f aca="false">E28*0.6</f>
        <v>33.24</v>
      </c>
      <c r="G28" s="23" t="n">
        <v>5.6</v>
      </c>
      <c r="H28" s="23" t="n">
        <v>8.19</v>
      </c>
      <c r="I28" s="23" t="n">
        <v>16.5</v>
      </c>
      <c r="J28" s="23" t="n">
        <v>55.2</v>
      </c>
      <c r="K28" s="23" t="n">
        <f aca="false">J28*0.6</f>
        <v>33.12</v>
      </c>
      <c r="L28" s="23" t="n">
        <v>3.9</v>
      </c>
      <c r="M28" s="23" t="n">
        <v>8.19</v>
      </c>
      <c r="N28" s="23" t="n">
        <v>16.5</v>
      </c>
      <c r="O28" s="23" t="n">
        <v>55.2</v>
      </c>
      <c r="P28" s="23" t="n">
        <f aca="false">O28*0.6</f>
        <v>33.12</v>
      </c>
      <c r="Q28" s="23" t="n">
        <v>3.88</v>
      </c>
      <c r="R28" s="19" t="n">
        <v>8.12</v>
      </c>
      <c r="S28" s="19" t="n">
        <v>16.6</v>
      </c>
      <c r="T28" s="19" t="n">
        <v>55</v>
      </c>
      <c r="U28" s="23" t="n">
        <v>33</v>
      </c>
      <c r="V28" s="19" t="n">
        <v>0.01</v>
      </c>
      <c r="W28" s="19" t="n">
        <v>8.12</v>
      </c>
      <c r="X28" s="19" t="n">
        <v>16.6</v>
      </c>
      <c r="Y28" s="19" t="n">
        <v>55</v>
      </c>
      <c r="Z28" s="23" t="n">
        <v>33</v>
      </c>
      <c r="AA28" s="19" t="n">
        <v>0.01</v>
      </c>
      <c r="AB28" s="23" t="n">
        <v>8.1</v>
      </c>
      <c r="AC28" s="23" t="n">
        <v>17</v>
      </c>
      <c r="AD28" s="23" t="n">
        <v>55</v>
      </c>
      <c r="AE28" s="23" t="n">
        <v>33</v>
      </c>
      <c r="AF28" s="23" t="n">
        <v>0</v>
      </c>
      <c r="AG28" s="23" t="n">
        <v>0.01</v>
      </c>
      <c r="AH28" s="23"/>
      <c r="AI28" s="23" t="n">
        <v>8.1</v>
      </c>
      <c r="AJ28" s="23" t="n">
        <v>17</v>
      </c>
      <c r="AK28" s="23" t="n">
        <v>55</v>
      </c>
      <c r="AL28" s="23" t="n">
        <v>33</v>
      </c>
      <c r="AM28" s="23" t="n">
        <v>0</v>
      </c>
      <c r="AN28" s="23" t="n">
        <v>0.01</v>
      </c>
      <c r="AO28" s="2" t="n">
        <v>6.98</v>
      </c>
      <c r="AP28" s="23" t="n">
        <v>17.6</v>
      </c>
      <c r="AQ28" s="23" t="n">
        <v>199.6</v>
      </c>
      <c r="AR28" s="23" t="n">
        <f aca="false">AQ28*0.5</f>
        <v>99.8</v>
      </c>
      <c r="AS28" s="23" t="n">
        <v>0.01</v>
      </c>
      <c r="AT28" s="23" t="n">
        <v>7.12</v>
      </c>
      <c r="AU28" s="23" t="n">
        <v>18</v>
      </c>
      <c r="AV28" s="23" t="n">
        <v>609</v>
      </c>
      <c r="AW28" s="23" t="n">
        <f aca="false">AV28*0.5</f>
        <v>304.5</v>
      </c>
      <c r="AX28" s="19" t="n">
        <v>0.8</v>
      </c>
      <c r="AY28" s="23" t="n">
        <v>0.01</v>
      </c>
    </row>
    <row r="29" customFormat="false" ht="15" hidden="false" customHeight="false" outlineLevel="0" collapsed="false">
      <c r="A29" s="16" t="n">
        <v>45301</v>
      </c>
      <c r="B29" s="17" t="s">
        <v>51</v>
      </c>
      <c r="C29" s="25" t="n">
        <v>8.23</v>
      </c>
      <c r="D29" s="23" t="n">
        <v>16.2</v>
      </c>
      <c r="E29" s="23" t="n">
        <v>55</v>
      </c>
      <c r="F29" s="23" t="n">
        <v>33</v>
      </c>
      <c r="G29" s="23" t="n">
        <v>0.77</v>
      </c>
      <c r="H29" s="23" t="n">
        <v>8.17</v>
      </c>
      <c r="I29" s="23" t="n">
        <v>16.4</v>
      </c>
      <c r="J29" s="23" t="n">
        <v>55</v>
      </c>
      <c r="K29" s="23" t="n">
        <f aca="false">0.6*J29</f>
        <v>33</v>
      </c>
      <c r="L29" s="23" t="n">
        <v>0.64</v>
      </c>
      <c r="M29" s="23" t="n">
        <v>8.17</v>
      </c>
      <c r="N29" s="23" t="n">
        <v>16.4</v>
      </c>
      <c r="O29" s="23" t="n">
        <v>55</v>
      </c>
      <c r="P29" s="23" t="n">
        <f aca="false">0.6*O29</f>
        <v>33</v>
      </c>
      <c r="Q29" s="23" t="n">
        <v>0.63</v>
      </c>
      <c r="R29" s="23" t="n">
        <v>8.11</v>
      </c>
      <c r="S29" s="23" t="n">
        <v>16.8</v>
      </c>
      <c r="T29" s="23" t="n">
        <v>54.9</v>
      </c>
      <c r="U29" s="23" t="n">
        <f aca="false">0.6*T29</f>
        <v>32.94</v>
      </c>
      <c r="V29" s="23" t="n">
        <v>0</v>
      </c>
      <c r="W29" s="23" t="n">
        <v>8.11</v>
      </c>
      <c r="X29" s="23" t="n">
        <v>16.8</v>
      </c>
      <c r="Y29" s="23" t="n">
        <v>54.9</v>
      </c>
      <c r="Z29" s="23" t="n">
        <f aca="false">0.6*Y29</f>
        <v>32.94</v>
      </c>
      <c r="AA29" s="23" t="n">
        <v>0</v>
      </c>
      <c r="AB29" s="23" t="n">
        <v>8.09</v>
      </c>
      <c r="AC29" s="23" t="n">
        <v>17</v>
      </c>
      <c r="AD29" s="23" t="n">
        <v>54.9</v>
      </c>
      <c r="AE29" s="23" t="n">
        <f aca="false">AD29*0.6</f>
        <v>32.94</v>
      </c>
      <c r="AF29" s="23" t="n">
        <v>0</v>
      </c>
      <c r="AG29" s="23" t="n">
        <v>0</v>
      </c>
      <c r="AH29" s="23"/>
      <c r="AI29" s="23" t="n">
        <v>8.09</v>
      </c>
      <c r="AJ29" s="23" t="n">
        <v>17</v>
      </c>
      <c r="AK29" s="23" t="n">
        <v>54.9</v>
      </c>
      <c r="AL29" s="23" t="n">
        <f aca="false">AK29*0.6</f>
        <v>32.94</v>
      </c>
      <c r="AM29" s="23" t="n">
        <v>0</v>
      </c>
      <c r="AN29" s="23" t="n">
        <v>0</v>
      </c>
      <c r="AO29" s="2" t="n">
        <v>6.94</v>
      </c>
      <c r="AP29" s="23" t="n">
        <v>17.2</v>
      </c>
      <c r="AQ29" s="23" t="n">
        <v>197.6</v>
      </c>
      <c r="AR29" s="23" t="n">
        <f aca="false">AQ29*0.5</f>
        <v>98.8</v>
      </c>
      <c r="AS29" s="23" t="n">
        <v>0</v>
      </c>
      <c r="AT29" s="23" t="n">
        <v>7.12</v>
      </c>
      <c r="AU29" s="23" t="n">
        <v>18.6</v>
      </c>
      <c r="AV29" s="23" t="n">
        <v>267.9</v>
      </c>
      <c r="AW29" s="23" t="n">
        <f aca="false">AV29*0.5</f>
        <v>133.95</v>
      </c>
      <c r="AX29" s="19" t="n">
        <v>1</v>
      </c>
      <c r="AY29" s="23" t="n">
        <v>0</v>
      </c>
    </row>
    <row r="30" customFormat="false" ht="15" hidden="false" customHeight="false" outlineLevel="0" collapsed="false">
      <c r="A30" s="16" t="n">
        <v>45301</v>
      </c>
      <c r="B30" s="22" t="s">
        <v>52</v>
      </c>
      <c r="C30" s="25" t="n">
        <v>8.19</v>
      </c>
      <c r="D30" s="23" t="n">
        <v>16.1</v>
      </c>
      <c r="E30" s="23" t="n">
        <v>54.9</v>
      </c>
      <c r="F30" s="23" t="n">
        <f aca="false">E30*0.6</f>
        <v>32.94</v>
      </c>
      <c r="G30" s="23" t="n">
        <v>0.89</v>
      </c>
      <c r="H30" s="23" t="n">
        <v>8.17</v>
      </c>
      <c r="I30" s="23" t="n">
        <v>15.7</v>
      </c>
      <c r="J30" s="23" t="n">
        <v>55</v>
      </c>
      <c r="K30" s="23" t="n">
        <f aca="false">J30*0.6</f>
        <v>33</v>
      </c>
      <c r="L30" s="23" t="n">
        <v>0.58</v>
      </c>
      <c r="M30" s="23" t="n">
        <v>8.17</v>
      </c>
      <c r="N30" s="23" t="n">
        <v>15.7</v>
      </c>
      <c r="O30" s="23" t="n">
        <v>55</v>
      </c>
      <c r="P30" s="23" t="n">
        <f aca="false">O30*0.6</f>
        <v>33</v>
      </c>
      <c r="Q30" s="23" t="n">
        <v>0.58</v>
      </c>
      <c r="R30" s="23" t="n">
        <v>8.18</v>
      </c>
      <c r="S30" s="23" t="n">
        <v>15.7</v>
      </c>
      <c r="T30" s="23" t="n">
        <v>54.9</v>
      </c>
      <c r="U30" s="23" t="n">
        <f aca="false">0.6*T30</f>
        <v>32.94</v>
      </c>
      <c r="V30" s="23" t="n">
        <v>0</v>
      </c>
      <c r="W30" s="23" t="n">
        <v>8.18</v>
      </c>
      <c r="X30" s="23" t="n">
        <v>15.7</v>
      </c>
      <c r="Y30" s="23" t="n">
        <v>54.9</v>
      </c>
      <c r="Z30" s="23" t="n">
        <f aca="false">0.6*Y30</f>
        <v>32.94</v>
      </c>
      <c r="AA30" s="23" t="n">
        <v>0</v>
      </c>
      <c r="AB30" s="23" t="n">
        <v>8.15</v>
      </c>
      <c r="AC30" s="23" t="n">
        <v>16.4</v>
      </c>
      <c r="AD30" s="23" t="n">
        <v>54.9</v>
      </c>
      <c r="AE30" s="23" t="n">
        <f aca="false">AD30*0.6</f>
        <v>32.94</v>
      </c>
      <c r="AF30" s="23" t="n">
        <v>0</v>
      </c>
      <c r="AG30" s="23" t="n">
        <v>0</v>
      </c>
      <c r="AH30" s="23"/>
      <c r="AI30" s="23" t="n">
        <v>8.15</v>
      </c>
      <c r="AJ30" s="23" t="n">
        <v>16.4</v>
      </c>
      <c r="AK30" s="23" t="n">
        <v>54.9</v>
      </c>
      <c r="AL30" s="23" t="n">
        <f aca="false">0.6*AK30</f>
        <v>32.94</v>
      </c>
      <c r="AM30" s="23" t="n">
        <v>0</v>
      </c>
      <c r="AN30" s="23" t="n">
        <v>0</v>
      </c>
      <c r="AO30" s="2" t="n">
        <v>6.01</v>
      </c>
      <c r="AP30" s="23" t="n">
        <v>16.7</v>
      </c>
      <c r="AQ30" s="23" t="n">
        <v>187.7</v>
      </c>
      <c r="AR30" s="23" t="n">
        <f aca="false">AQ30*0.5</f>
        <v>93.85</v>
      </c>
      <c r="AS30" s="23" t="n">
        <v>0</v>
      </c>
      <c r="AT30" s="23" t="n">
        <v>7.1</v>
      </c>
      <c r="AU30" s="23" t="n">
        <v>16.8</v>
      </c>
      <c r="AV30" s="23" t="n">
        <v>257</v>
      </c>
      <c r="AW30" s="23" t="n">
        <f aca="false">AV30*0.5</f>
        <v>128.5</v>
      </c>
      <c r="AX30" s="19"/>
      <c r="AY30" s="23" t="n">
        <v>0</v>
      </c>
    </row>
    <row r="31" customFormat="false" ht="15" hidden="false" customHeight="false" outlineLevel="0" collapsed="false">
      <c r="A31" s="16" t="n">
        <v>45301</v>
      </c>
      <c r="B31" s="22" t="s">
        <v>53</v>
      </c>
      <c r="C31" s="25" t="n">
        <v>8.17</v>
      </c>
      <c r="D31" s="23" t="n">
        <v>16</v>
      </c>
      <c r="E31" s="23" t="n">
        <v>55.1</v>
      </c>
      <c r="F31" s="23" t="n">
        <f aca="false">E31*0.6</f>
        <v>33.06</v>
      </c>
      <c r="G31" s="23" t="n">
        <v>0.78</v>
      </c>
      <c r="H31" s="23" t="n">
        <v>8.15</v>
      </c>
      <c r="I31" s="23" t="n">
        <v>16.2</v>
      </c>
      <c r="J31" s="23" t="n">
        <v>55.1</v>
      </c>
      <c r="K31" s="23" t="n">
        <f aca="false">J31*0.6</f>
        <v>33.06</v>
      </c>
      <c r="L31" s="23" t="n">
        <v>0.63</v>
      </c>
      <c r="M31" s="23" t="n">
        <v>8.15</v>
      </c>
      <c r="N31" s="23" t="n">
        <v>16.2</v>
      </c>
      <c r="O31" s="23" t="n">
        <v>55.1</v>
      </c>
      <c r="P31" s="23" t="n">
        <f aca="false">O31*0.6</f>
        <v>33.06</v>
      </c>
      <c r="Q31" s="23" t="n">
        <v>0.63</v>
      </c>
      <c r="R31" s="23" t="n">
        <v>8.11</v>
      </c>
      <c r="S31" s="23" t="n">
        <v>16.8</v>
      </c>
      <c r="T31" s="23" t="n">
        <v>54.9</v>
      </c>
      <c r="U31" s="23" t="n">
        <f aca="false">0.6*T31</f>
        <v>32.94</v>
      </c>
      <c r="V31" s="19" t="n">
        <v>0</v>
      </c>
      <c r="W31" s="23" t="n">
        <v>8.11</v>
      </c>
      <c r="X31" s="23" t="n">
        <v>16.8</v>
      </c>
      <c r="Y31" s="23" t="n">
        <v>54.9</v>
      </c>
      <c r="Z31" s="23" t="n">
        <f aca="false">0.6*Y31</f>
        <v>32.94</v>
      </c>
      <c r="AA31" s="19" t="n">
        <v>0</v>
      </c>
      <c r="AB31" s="23" t="n">
        <v>8.09</v>
      </c>
      <c r="AC31" s="23" t="n">
        <v>17</v>
      </c>
      <c r="AD31" s="23" t="n">
        <v>54.9</v>
      </c>
      <c r="AE31" s="23" t="n">
        <f aca="false">AD31*0.6</f>
        <v>32.94</v>
      </c>
      <c r="AF31" s="23" t="n">
        <v>0</v>
      </c>
      <c r="AG31" s="23" t="n">
        <v>0</v>
      </c>
      <c r="AH31" s="23"/>
      <c r="AI31" s="23" t="n">
        <v>8.09</v>
      </c>
      <c r="AJ31" s="23" t="n">
        <v>17</v>
      </c>
      <c r="AK31" s="23" t="n">
        <v>54.9</v>
      </c>
      <c r="AL31" s="23" t="n">
        <f aca="false">AK31*0.6</f>
        <v>32.94</v>
      </c>
      <c r="AM31" s="23" t="n">
        <v>0</v>
      </c>
      <c r="AN31" s="23" t="n">
        <v>0</v>
      </c>
      <c r="AO31" s="2" t="n">
        <v>6.06</v>
      </c>
      <c r="AP31" s="23" t="n">
        <v>17</v>
      </c>
      <c r="AQ31" s="23" t="n">
        <v>202</v>
      </c>
      <c r="AR31" s="23" t="n">
        <f aca="false">AQ31*0.5</f>
        <v>101</v>
      </c>
      <c r="AS31" s="23" t="n">
        <v>0</v>
      </c>
      <c r="AT31" s="23" t="n">
        <v>7.1</v>
      </c>
      <c r="AU31" s="23" t="n">
        <v>17.2</v>
      </c>
      <c r="AV31" s="23" t="n">
        <v>281</v>
      </c>
      <c r="AW31" s="23" t="n">
        <f aca="false">AV31*0.5</f>
        <v>140.5</v>
      </c>
      <c r="AX31" s="19" t="n">
        <v>0.8</v>
      </c>
      <c r="AY31" s="23" t="n">
        <v>0</v>
      </c>
    </row>
    <row r="32" customFormat="false" ht="15" hidden="false" customHeight="false" outlineLevel="0" collapsed="false">
      <c r="A32" s="16" t="n">
        <v>45302</v>
      </c>
      <c r="B32" s="17" t="s">
        <v>51</v>
      </c>
      <c r="C32" s="25" t="n">
        <v>8.23</v>
      </c>
      <c r="D32" s="23" t="n">
        <v>15</v>
      </c>
      <c r="E32" s="23" t="n">
        <v>55</v>
      </c>
      <c r="F32" s="23" t="n">
        <v>33</v>
      </c>
      <c r="G32" s="23" t="n">
        <v>2.75</v>
      </c>
      <c r="H32" s="23" t="n">
        <v>8.17</v>
      </c>
      <c r="I32" s="23" t="n">
        <v>15</v>
      </c>
      <c r="J32" s="23" t="n">
        <v>55</v>
      </c>
      <c r="K32" s="23" t="n">
        <f aca="false">0.6*J32</f>
        <v>33</v>
      </c>
      <c r="L32" s="23" t="n">
        <v>0.79</v>
      </c>
      <c r="M32" s="23" t="n">
        <v>8.17</v>
      </c>
      <c r="N32" s="23" t="n">
        <v>15</v>
      </c>
      <c r="O32" s="23" t="n">
        <v>55</v>
      </c>
      <c r="P32" s="23" t="n">
        <f aca="false">0.6*O32</f>
        <v>33</v>
      </c>
      <c r="Q32" s="23" t="n">
        <v>0.75</v>
      </c>
      <c r="R32" s="23" t="n">
        <v>8.11</v>
      </c>
      <c r="S32" s="23" t="n">
        <v>15.2</v>
      </c>
      <c r="T32" s="23" t="n">
        <v>54.9</v>
      </c>
      <c r="U32" s="23" t="n">
        <f aca="false">0.6*T32</f>
        <v>32.94</v>
      </c>
      <c r="V32" s="23" t="n">
        <v>0</v>
      </c>
      <c r="W32" s="23" t="n">
        <v>8.09</v>
      </c>
      <c r="X32" s="23" t="n">
        <v>15.4</v>
      </c>
      <c r="Y32" s="23" t="n">
        <v>54.9</v>
      </c>
      <c r="Z32" s="23" t="n">
        <f aca="false">Y32*0.6</f>
        <v>32.94</v>
      </c>
      <c r="AA32" s="23" t="n">
        <v>0</v>
      </c>
      <c r="AB32" s="23" t="n">
        <v>8.09</v>
      </c>
      <c r="AC32" s="23" t="n">
        <v>15.4</v>
      </c>
      <c r="AD32" s="23" t="n">
        <v>54.9</v>
      </c>
      <c r="AE32" s="23" t="n">
        <f aca="false">AD32*0.6</f>
        <v>32.94</v>
      </c>
      <c r="AF32" s="23" t="n">
        <v>0</v>
      </c>
      <c r="AG32" s="23" t="n">
        <v>0</v>
      </c>
      <c r="AH32" s="23"/>
      <c r="AI32" s="23" t="n">
        <v>8.09</v>
      </c>
      <c r="AJ32" s="23" t="n">
        <v>15.4</v>
      </c>
      <c r="AK32" s="23" t="n">
        <v>54.9</v>
      </c>
      <c r="AL32" s="23" t="n">
        <f aca="false">AK32*0.6</f>
        <v>32.94</v>
      </c>
      <c r="AM32" s="23" t="n">
        <v>0</v>
      </c>
      <c r="AN32" s="23" t="n">
        <v>0</v>
      </c>
      <c r="AO32" s="2" t="n">
        <v>6.01</v>
      </c>
      <c r="AP32" s="23" t="n">
        <v>15.7</v>
      </c>
      <c r="AQ32" s="23" t="n">
        <v>189.2</v>
      </c>
      <c r="AR32" s="23" t="n">
        <f aca="false">AQ32*0.5</f>
        <v>94.6</v>
      </c>
      <c r="AS32" s="23" t="n">
        <v>0</v>
      </c>
      <c r="AT32" s="23" t="n">
        <v>7.08</v>
      </c>
      <c r="AU32" s="23" t="n">
        <v>15.7</v>
      </c>
      <c r="AV32" s="23" t="n">
        <v>252</v>
      </c>
      <c r="AW32" s="23" t="n">
        <f aca="false">AV32*0.5</f>
        <v>126</v>
      </c>
      <c r="AX32" s="19" t="n">
        <v>0.8</v>
      </c>
      <c r="AY32" s="23" t="n">
        <v>0</v>
      </c>
    </row>
    <row r="33" customFormat="false" ht="15" hidden="false" customHeight="false" outlineLevel="0" collapsed="false">
      <c r="A33" s="16" t="n">
        <v>45302</v>
      </c>
      <c r="B33" s="22" t="s">
        <v>52</v>
      </c>
      <c r="C33" s="25" t="n">
        <v>8.22</v>
      </c>
      <c r="D33" s="23" t="n">
        <v>15.5</v>
      </c>
      <c r="E33" s="23" t="n">
        <v>55.1</v>
      </c>
      <c r="F33" s="23" t="n">
        <f aca="false">E33*0.6</f>
        <v>33.06</v>
      </c>
      <c r="G33" s="23" t="n">
        <v>1.23</v>
      </c>
      <c r="H33" s="23" t="n">
        <v>8.16</v>
      </c>
      <c r="I33" s="23" t="n">
        <v>15.7</v>
      </c>
      <c r="J33" s="23" t="n">
        <v>51.1</v>
      </c>
      <c r="K33" s="23" t="n">
        <f aca="false">J33*0.6</f>
        <v>30.66</v>
      </c>
      <c r="L33" s="23" t="n">
        <v>0.57</v>
      </c>
      <c r="M33" s="23" t="n">
        <v>8.16</v>
      </c>
      <c r="N33" s="23" t="n">
        <v>15.7</v>
      </c>
      <c r="O33" s="23" t="n">
        <v>51.1</v>
      </c>
      <c r="P33" s="23" t="n">
        <f aca="false">O33*0.6</f>
        <v>30.66</v>
      </c>
      <c r="Q33" s="23" t="n">
        <v>0.51</v>
      </c>
      <c r="R33" s="23" t="n">
        <v>8.18</v>
      </c>
      <c r="S33" s="23" t="n">
        <v>15.9</v>
      </c>
      <c r="T33" s="23" t="n">
        <v>55.1</v>
      </c>
      <c r="U33" s="23" t="n">
        <v>30.66</v>
      </c>
      <c r="V33" s="23" t="n">
        <v>0</v>
      </c>
      <c r="W33" s="23" t="n">
        <v>8.18</v>
      </c>
      <c r="X33" s="23" t="n">
        <v>15.9</v>
      </c>
      <c r="Y33" s="23" t="n">
        <v>55.1</v>
      </c>
      <c r="Z33" s="23" t="n">
        <v>30.66</v>
      </c>
      <c r="AA33" s="23" t="n">
        <v>0</v>
      </c>
      <c r="AB33" s="23" t="n">
        <v>8.13</v>
      </c>
      <c r="AC33" s="23" t="n">
        <v>16.4</v>
      </c>
      <c r="AD33" s="23" t="n">
        <v>54.9</v>
      </c>
      <c r="AE33" s="23" t="n">
        <v>30.66</v>
      </c>
      <c r="AF33" s="23" t="n">
        <v>0</v>
      </c>
      <c r="AG33" s="23" t="n">
        <v>0</v>
      </c>
      <c r="AH33" s="23"/>
      <c r="AI33" s="23" t="n">
        <v>8.13</v>
      </c>
      <c r="AJ33" s="23" t="n">
        <v>16.4</v>
      </c>
      <c r="AK33" s="23" t="n">
        <v>54.9</v>
      </c>
      <c r="AL33" s="23" t="n">
        <f aca="false">0.6*AK33</f>
        <v>32.94</v>
      </c>
      <c r="AM33" s="23" t="n">
        <v>0</v>
      </c>
      <c r="AN33" s="23" t="n">
        <v>0</v>
      </c>
      <c r="AO33" s="2" t="n">
        <v>6.02</v>
      </c>
      <c r="AP33" s="23" t="n">
        <v>16.7</v>
      </c>
      <c r="AQ33" s="23" t="n">
        <v>204</v>
      </c>
      <c r="AR33" s="23" t="n">
        <f aca="false">AQ33*0.5</f>
        <v>102</v>
      </c>
      <c r="AS33" s="23" t="n">
        <v>0</v>
      </c>
      <c r="AT33" s="23" t="n">
        <v>7.06</v>
      </c>
      <c r="AU33" s="23" t="n">
        <v>16.8</v>
      </c>
      <c r="AV33" s="23" t="n">
        <v>252</v>
      </c>
      <c r="AW33" s="23" t="n">
        <f aca="false">AV33*0.5</f>
        <v>126</v>
      </c>
      <c r="AX33" s="19"/>
      <c r="AY33" s="23" t="n">
        <v>0</v>
      </c>
    </row>
    <row r="34" customFormat="false" ht="15" hidden="false" customHeight="false" outlineLevel="0" collapsed="false">
      <c r="A34" s="16" t="n">
        <v>45302</v>
      </c>
      <c r="B34" s="22" t="s">
        <v>53</v>
      </c>
      <c r="C34" s="25" t="n">
        <v>8.23</v>
      </c>
      <c r="D34" s="23" t="n">
        <v>15</v>
      </c>
      <c r="E34" s="23" t="n">
        <v>55</v>
      </c>
      <c r="F34" s="23" t="n">
        <v>33</v>
      </c>
      <c r="G34" s="23" t="n">
        <v>2</v>
      </c>
      <c r="H34" s="23" t="n">
        <v>8.17</v>
      </c>
      <c r="I34" s="23" t="n">
        <v>15</v>
      </c>
      <c r="J34" s="23" t="n">
        <v>55</v>
      </c>
      <c r="K34" s="23" t="n">
        <f aca="false">0.6*J34</f>
        <v>33</v>
      </c>
      <c r="L34" s="23" t="n">
        <v>1.19</v>
      </c>
      <c r="M34" s="23" t="n">
        <v>8.16</v>
      </c>
      <c r="N34" s="23" t="n">
        <v>15</v>
      </c>
      <c r="O34" s="23" t="n">
        <v>51.1</v>
      </c>
      <c r="P34" s="23" t="n">
        <f aca="false">O34*0.6</f>
        <v>30.66</v>
      </c>
      <c r="Q34" s="23" t="n">
        <v>1.29</v>
      </c>
      <c r="R34" s="23" t="n">
        <v>8.11</v>
      </c>
      <c r="S34" s="23" t="n">
        <v>15.2</v>
      </c>
      <c r="T34" s="23" t="n">
        <v>54.9</v>
      </c>
      <c r="U34" s="23" t="n">
        <f aca="false">0.6*T34</f>
        <v>32.94</v>
      </c>
      <c r="V34" s="23" t="n">
        <v>0</v>
      </c>
      <c r="W34" s="23" t="n">
        <v>8.11</v>
      </c>
      <c r="X34" s="23" t="n">
        <v>15.2</v>
      </c>
      <c r="Y34" s="23" t="n">
        <v>54.9</v>
      </c>
      <c r="Z34" s="23" t="n">
        <f aca="false">0.6*Y34</f>
        <v>32.94</v>
      </c>
      <c r="AA34" s="23" t="n">
        <v>0</v>
      </c>
      <c r="AB34" s="23" t="n">
        <v>8.13</v>
      </c>
      <c r="AC34" s="23" t="n">
        <v>16.4</v>
      </c>
      <c r="AD34" s="23" t="n">
        <v>54.9</v>
      </c>
      <c r="AE34" s="23" t="n">
        <v>30.66</v>
      </c>
      <c r="AF34" s="23" t="n">
        <v>0</v>
      </c>
      <c r="AG34" s="23" t="n">
        <v>0</v>
      </c>
      <c r="AH34" s="23"/>
      <c r="AI34" s="23" t="n">
        <v>8.13</v>
      </c>
      <c r="AJ34" s="23" t="n">
        <v>16.4</v>
      </c>
      <c r="AK34" s="23" t="n">
        <v>54.9</v>
      </c>
      <c r="AL34" s="23" t="n">
        <v>30.66</v>
      </c>
      <c r="AM34" s="23" t="n">
        <v>0</v>
      </c>
      <c r="AN34" s="23" t="n">
        <v>0</v>
      </c>
      <c r="AO34" s="2" t="n">
        <v>6.04</v>
      </c>
      <c r="AP34" s="23" t="n">
        <v>17</v>
      </c>
      <c r="AQ34" s="23" t="n">
        <v>215</v>
      </c>
      <c r="AR34" s="23" t="n">
        <f aca="false">AQ34*0.5</f>
        <v>107.5</v>
      </c>
      <c r="AS34" s="23" t="n">
        <v>0</v>
      </c>
      <c r="AT34" s="23" t="s">
        <v>55</v>
      </c>
      <c r="AU34" s="23" t="n">
        <v>17.3</v>
      </c>
      <c r="AV34" s="23" t="n">
        <v>254</v>
      </c>
      <c r="AW34" s="23" t="n">
        <f aca="false">AV34*0.5</f>
        <v>127</v>
      </c>
      <c r="AX34" s="19" t="n">
        <v>0.9</v>
      </c>
      <c r="AY34" s="23" t="n">
        <v>0</v>
      </c>
    </row>
    <row r="35" customFormat="false" ht="15" hidden="false" customHeight="false" outlineLevel="0" collapsed="false">
      <c r="A35" s="16" t="n">
        <v>45303</v>
      </c>
      <c r="B35" s="17" t="s">
        <v>51</v>
      </c>
      <c r="C35" s="25" t="n">
        <v>8.23</v>
      </c>
      <c r="D35" s="23" t="n">
        <v>15.2</v>
      </c>
      <c r="E35" s="23" t="n">
        <v>55</v>
      </c>
      <c r="F35" s="23" t="n">
        <v>33</v>
      </c>
      <c r="G35" s="23" t="n">
        <v>1.31</v>
      </c>
      <c r="H35" s="23" t="n">
        <v>8.17</v>
      </c>
      <c r="I35" s="23" t="n">
        <v>15.4</v>
      </c>
      <c r="J35" s="23" t="n">
        <v>55</v>
      </c>
      <c r="K35" s="23" t="n">
        <f aca="false">0.6*J35</f>
        <v>33</v>
      </c>
      <c r="L35" s="23" t="s">
        <v>56</v>
      </c>
      <c r="M35" s="23" t="n">
        <v>8.17</v>
      </c>
      <c r="N35" s="23" t="n">
        <v>15.4</v>
      </c>
      <c r="O35" s="23" t="n">
        <v>55</v>
      </c>
      <c r="P35" s="23" t="n">
        <f aca="false">0.6*O35</f>
        <v>33</v>
      </c>
      <c r="Q35" s="23" t="n">
        <v>1.01</v>
      </c>
      <c r="R35" s="23" t="n">
        <v>8.11</v>
      </c>
      <c r="S35" s="23" t="n">
        <v>15.6</v>
      </c>
      <c r="T35" s="23" t="n">
        <v>54.9</v>
      </c>
      <c r="U35" s="23" t="n">
        <f aca="false">0.6*T35</f>
        <v>32.94</v>
      </c>
      <c r="V35" s="23" t="n">
        <v>0</v>
      </c>
      <c r="W35" s="23" t="n">
        <v>8.11</v>
      </c>
      <c r="X35" s="23" t="n">
        <v>15.6</v>
      </c>
      <c r="Y35" s="23" t="n">
        <v>54.9</v>
      </c>
      <c r="Z35" s="23" t="n">
        <f aca="false">0.6*Y35</f>
        <v>32.94</v>
      </c>
      <c r="AA35" s="23" t="n">
        <v>0</v>
      </c>
      <c r="AB35" s="23" t="n">
        <v>8.09</v>
      </c>
      <c r="AC35" s="23" t="n">
        <v>15.8</v>
      </c>
      <c r="AD35" s="23" t="n">
        <v>54.9</v>
      </c>
      <c r="AE35" s="23" t="n">
        <f aca="false">AD35*0.6</f>
        <v>32.94</v>
      </c>
      <c r="AF35" s="23" t="n">
        <v>0</v>
      </c>
      <c r="AG35" s="23" t="n">
        <v>0</v>
      </c>
      <c r="AH35" s="23"/>
      <c r="AI35" s="23" t="n">
        <v>8.09</v>
      </c>
      <c r="AJ35" s="23" t="n">
        <v>15.8</v>
      </c>
      <c r="AK35" s="23" t="n">
        <v>54.9</v>
      </c>
      <c r="AL35" s="23" t="n">
        <f aca="false">AK35*0.6</f>
        <v>32.94</v>
      </c>
      <c r="AM35" s="23" t="n">
        <v>0</v>
      </c>
      <c r="AN35" s="23" t="n">
        <v>0</v>
      </c>
      <c r="AO35" s="2" t="n">
        <v>6.01</v>
      </c>
      <c r="AP35" s="23" t="n">
        <v>16.2</v>
      </c>
      <c r="AQ35" s="23" t="n">
        <v>201</v>
      </c>
      <c r="AR35" s="23" t="n">
        <f aca="false">AQ35*0.5</f>
        <v>100.5</v>
      </c>
      <c r="AS35" s="23" t="n">
        <v>0</v>
      </c>
      <c r="AT35" s="23" t="n">
        <v>7.08</v>
      </c>
      <c r="AU35" s="23" t="n">
        <v>15.7</v>
      </c>
      <c r="AV35" s="23" t="n">
        <v>262</v>
      </c>
      <c r="AW35" s="23" t="n">
        <f aca="false">AV35*0.5</f>
        <v>131</v>
      </c>
      <c r="AX35" s="19" t="n">
        <v>0.8</v>
      </c>
      <c r="AY35" s="23" t="n">
        <v>0</v>
      </c>
    </row>
    <row r="36" customFormat="false" ht="15" hidden="false" customHeight="false" outlineLevel="0" collapsed="false">
      <c r="A36" s="16" t="n">
        <v>45303</v>
      </c>
      <c r="B36" s="22" t="s">
        <v>52</v>
      </c>
      <c r="C36" s="25" t="n">
        <v>8.23</v>
      </c>
      <c r="D36" s="23" t="n">
        <v>15.2</v>
      </c>
      <c r="E36" s="23" t="n">
        <v>55</v>
      </c>
      <c r="F36" s="23" t="n">
        <v>33</v>
      </c>
      <c r="G36" s="23" t="n">
        <v>1</v>
      </c>
      <c r="H36" s="23" t="n">
        <v>8.17</v>
      </c>
      <c r="I36" s="23" t="n">
        <v>15.4</v>
      </c>
      <c r="J36" s="23" t="n">
        <v>55</v>
      </c>
      <c r="K36" s="23" t="n">
        <f aca="false">0.6*J36</f>
        <v>33</v>
      </c>
      <c r="L36" s="23" t="n">
        <v>1.23</v>
      </c>
      <c r="M36" s="23" t="n">
        <v>8.17</v>
      </c>
      <c r="N36" s="23" t="n">
        <v>15.4</v>
      </c>
      <c r="O36" s="23" t="n">
        <v>55</v>
      </c>
      <c r="P36" s="23" t="n">
        <f aca="false">0.6*O36</f>
        <v>33</v>
      </c>
      <c r="Q36" s="23" t="n">
        <v>1.01</v>
      </c>
      <c r="R36" s="23" t="n">
        <v>8.11</v>
      </c>
      <c r="S36" s="23" t="n">
        <v>15.6</v>
      </c>
      <c r="T36" s="23" t="n">
        <v>54.9</v>
      </c>
      <c r="U36" s="23" t="n">
        <f aca="false">0.6*T36</f>
        <v>32.94</v>
      </c>
      <c r="V36" s="23" t="n">
        <v>0</v>
      </c>
      <c r="W36" s="23" t="n">
        <v>8.11</v>
      </c>
      <c r="X36" s="23" t="n">
        <v>15.6</v>
      </c>
      <c r="Y36" s="23" t="n">
        <v>54.9</v>
      </c>
      <c r="Z36" s="23" t="n">
        <f aca="false">0.6*Y36</f>
        <v>32.94</v>
      </c>
      <c r="AA36" s="23" t="n">
        <v>0</v>
      </c>
      <c r="AB36" s="23" t="n">
        <v>8.09</v>
      </c>
      <c r="AC36" s="23" t="n">
        <v>15.8</v>
      </c>
      <c r="AD36" s="23" t="n">
        <v>54.9</v>
      </c>
      <c r="AE36" s="23" t="n">
        <f aca="false">AD36*0.6</f>
        <v>32.94</v>
      </c>
      <c r="AF36" s="23" t="n">
        <v>0</v>
      </c>
      <c r="AG36" s="23" t="n">
        <v>0</v>
      </c>
      <c r="AH36" s="23"/>
      <c r="AI36" s="23" t="n">
        <v>8.09</v>
      </c>
      <c r="AJ36" s="23" t="n">
        <v>15.8</v>
      </c>
      <c r="AK36" s="23" t="n">
        <v>54.9</v>
      </c>
      <c r="AL36" s="23" t="n">
        <f aca="false">0.6*AK36</f>
        <v>32.94</v>
      </c>
      <c r="AM36" s="23" t="n">
        <v>0</v>
      </c>
      <c r="AN36" s="23" t="n">
        <v>0</v>
      </c>
      <c r="AO36" s="2" t="n">
        <v>6.01</v>
      </c>
      <c r="AP36" s="23" t="n">
        <v>16.2</v>
      </c>
      <c r="AQ36" s="23" t="n">
        <v>211</v>
      </c>
      <c r="AR36" s="23" t="n">
        <f aca="false">AQ36*0.5</f>
        <v>105.5</v>
      </c>
      <c r="AS36" s="23" t="n">
        <v>0</v>
      </c>
      <c r="AT36" s="23" t="n">
        <v>7.08</v>
      </c>
      <c r="AU36" s="23" t="n">
        <v>15.7</v>
      </c>
      <c r="AV36" s="23" t="n">
        <v>262</v>
      </c>
      <c r="AW36" s="23" t="n">
        <f aca="false">AV36*0.5</f>
        <v>131</v>
      </c>
      <c r="AX36" s="19" t="n">
        <v>0.8</v>
      </c>
      <c r="AY36" s="23" t="n">
        <v>0</v>
      </c>
    </row>
    <row r="37" customFormat="false" ht="15" hidden="false" customHeight="false" outlineLevel="0" collapsed="false">
      <c r="A37" s="16" t="n">
        <v>45303</v>
      </c>
      <c r="B37" s="22" t="s">
        <v>53</v>
      </c>
      <c r="C37" s="29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</row>
    <row r="38" customFormat="false" ht="15" hidden="false" customHeight="false" outlineLevel="0" collapsed="false">
      <c r="A38" s="16" t="n">
        <v>45304</v>
      </c>
      <c r="B38" s="17" t="s">
        <v>51</v>
      </c>
      <c r="C38" s="25" t="n">
        <v>8.23</v>
      </c>
      <c r="D38" s="23" t="n">
        <v>16.2</v>
      </c>
      <c r="E38" s="23" t="n">
        <v>55</v>
      </c>
      <c r="F38" s="23" t="n">
        <v>33</v>
      </c>
      <c r="G38" s="23" t="n">
        <v>1.12</v>
      </c>
      <c r="H38" s="23" t="n">
        <v>8.17</v>
      </c>
      <c r="I38" s="23" t="n">
        <v>16.3</v>
      </c>
      <c r="J38" s="23" t="n">
        <v>55</v>
      </c>
      <c r="K38" s="23" t="n">
        <f aca="false">0.6*J38</f>
        <v>33</v>
      </c>
      <c r="L38" s="23" t="n">
        <v>0.41</v>
      </c>
      <c r="M38" s="23" t="n">
        <v>8.17</v>
      </c>
      <c r="N38" s="23" t="n">
        <v>16.3</v>
      </c>
      <c r="O38" s="23" t="n">
        <v>55</v>
      </c>
      <c r="P38" s="23" t="n">
        <f aca="false">0.6*O38</f>
        <v>33</v>
      </c>
      <c r="Q38" s="23" t="n">
        <v>0.45</v>
      </c>
      <c r="R38" s="23" t="n">
        <v>8.11</v>
      </c>
      <c r="S38" s="23" t="n">
        <v>16.8</v>
      </c>
      <c r="T38" s="23" t="n">
        <v>54.9</v>
      </c>
      <c r="U38" s="23" t="n">
        <f aca="false">0.6*T38</f>
        <v>32.94</v>
      </c>
      <c r="V38" s="23" t="n">
        <v>0</v>
      </c>
      <c r="W38" s="23" t="n">
        <v>8.11</v>
      </c>
      <c r="X38" s="23" t="n">
        <v>16.8</v>
      </c>
      <c r="Y38" s="23" t="n">
        <v>54.9</v>
      </c>
      <c r="Z38" s="23" t="n">
        <f aca="false">0.6*Y38</f>
        <v>32.94</v>
      </c>
      <c r="AA38" s="23" t="n">
        <v>0</v>
      </c>
      <c r="AB38" s="23" t="n">
        <v>8.09</v>
      </c>
      <c r="AC38" s="23" t="n">
        <v>17</v>
      </c>
      <c r="AD38" s="23" t="n">
        <v>54.9</v>
      </c>
      <c r="AE38" s="23" t="n">
        <f aca="false">AD38*0.6</f>
        <v>32.94</v>
      </c>
      <c r="AF38" s="23" t="n">
        <v>0</v>
      </c>
      <c r="AG38" s="23" t="n">
        <v>0</v>
      </c>
      <c r="AH38" s="23"/>
      <c r="AI38" s="23" t="n">
        <v>8.09</v>
      </c>
      <c r="AJ38" s="23" t="n">
        <v>17</v>
      </c>
      <c r="AK38" s="23" t="n">
        <v>54.9</v>
      </c>
      <c r="AL38" s="23" t="n">
        <f aca="false">AK38*0.6</f>
        <v>32.94</v>
      </c>
      <c r="AM38" s="23" t="n">
        <v>0</v>
      </c>
      <c r="AN38" s="23" t="n">
        <v>0</v>
      </c>
      <c r="AO38" s="2" t="n">
        <v>6.01</v>
      </c>
      <c r="AP38" s="23" t="n">
        <v>17.2</v>
      </c>
      <c r="AQ38" s="23" t="n">
        <v>202</v>
      </c>
      <c r="AR38" s="23" t="n">
        <f aca="false">AQ38*0.5</f>
        <v>101</v>
      </c>
      <c r="AS38" s="23" t="n">
        <v>0</v>
      </c>
      <c r="AT38" s="23" t="n">
        <v>7.08</v>
      </c>
      <c r="AU38" s="23" t="n">
        <v>18.2</v>
      </c>
      <c r="AV38" s="23" t="n">
        <v>269</v>
      </c>
      <c r="AW38" s="23" t="n">
        <f aca="false">AV38*0.5</f>
        <v>134.5</v>
      </c>
      <c r="AX38" s="19" t="n">
        <v>0.8</v>
      </c>
      <c r="AY38" s="23" t="n">
        <v>0</v>
      </c>
    </row>
    <row r="39" customFormat="false" ht="15" hidden="false" customHeight="false" outlineLevel="0" collapsed="false">
      <c r="A39" s="16" t="n">
        <v>45304</v>
      </c>
      <c r="B39" s="22" t="s">
        <v>52</v>
      </c>
      <c r="C39" s="25" t="n">
        <v>8.22</v>
      </c>
      <c r="D39" s="23" t="n">
        <v>16</v>
      </c>
      <c r="E39" s="23" t="n">
        <v>55</v>
      </c>
      <c r="F39" s="23" t="n">
        <f aca="false">E39*0.6</f>
        <v>33</v>
      </c>
      <c r="G39" s="23" t="n">
        <v>1.09</v>
      </c>
      <c r="H39" s="23" t="n">
        <v>8.17</v>
      </c>
      <c r="I39" s="23" t="n">
        <v>16.2</v>
      </c>
      <c r="J39" s="23" t="n">
        <v>55</v>
      </c>
      <c r="K39" s="23" t="n">
        <f aca="false">J39*0.6</f>
        <v>33</v>
      </c>
      <c r="L39" s="23" t="n">
        <v>0.39</v>
      </c>
      <c r="M39" s="23" t="n">
        <v>8.17</v>
      </c>
      <c r="N39" s="23" t="n">
        <v>16.2</v>
      </c>
      <c r="O39" s="23" t="n">
        <v>55</v>
      </c>
      <c r="P39" s="23" t="n">
        <f aca="false">O39*0.6</f>
        <v>33</v>
      </c>
      <c r="Q39" s="23" t="n">
        <v>0.38</v>
      </c>
      <c r="R39" s="23" t="n">
        <v>8.09</v>
      </c>
      <c r="S39" s="23" t="n">
        <v>16.4</v>
      </c>
      <c r="T39" s="23" t="n">
        <v>49.9</v>
      </c>
      <c r="U39" s="23" t="n">
        <f aca="false">T39*0.6</f>
        <v>29.94</v>
      </c>
      <c r="V39" s="23" t="n">
        <v>0</v>
      </c>
      <c r="W39" s="23" t="n">
        <v>8.09</v>
      </c>
      <c r="X39" s="23" t="n">
        <v>16.4</v>
      </c>
      <c r="Y39" s="23" t="n">
        <v>49.9</v>
      </c>
      <c r="Z39" s="23" t="n">
        <f aca="false">Y39*0.6</f>
        <v>29.94</v>
      </c>
      <c r="AA39" s="23" t="n">
        <v>0</v>
      </c>
      <c r="AB39" s="23" t="n">
        <v>8.08</v>
      </c>
      <c r="AC39" s="23" t="n">
        <v>16.6</v>
      </c>
      <c r="AD39" s="23" t="n">
        <v>54.9</v>
      </c>
      <c r="AE39" s="23" t="n">
        <f aca="false">AD39*0.6</f>
        <v>32.94</v>
      </c>
      <c r="AF39" s="23" t="n">
        <v>0</v>
      </c>
      <c r="AG39" s="23" t="n">
        <v>0</v>
      </c>
      <c r="AH39" s="23"/>
      <c r="AI39" s="23" t="n">
        <v>8.08</v>
      </c>
      <c r="AJ39" s="23" t="n">
        <v>16.6</v>
      </c>
      <c r="AK39" s="23" t="n">
        <v>54.9</v>
      </c>
      <c r="AL39" s="23" t="n">
        <f aca="false">0.6*AK39</f>
        <v>32.94</v>
      </c>
      <c r="AM39" s="23" t="n">
        <v>0</v>
      </c>
      <c r="AN39" s="23" t="n">
        <v>0</v>
      </c>
      <c r="AO39" s="2" t="n">
        <v>6.01</v>
      </c>
      <c r="AP39" s="23" t="n">
        <v>17</v>
      </c>
      <c r="AQ39" s="23" t="n">
        <v>211</v>
      </c>
      <c r="AR39" s="23" t="n">
        <f aca="false">AQ39*0.5</f>
        <v>105.5</v>
      </c>
      <c r="AS39" s="23" t="n">
        <v>0</v>
      </c>
      <c r="AT39" s="23" t="n">
        <v>7.09</v>
      </c>
      <c r="AU39" s="23" t="n">
        <v>17.6</v>
      </c>
      <c r="AV39" s="23" t="n">
        <v>259</v>
      </c>
      <c r="AW39" s="23" t="n">
        <f aca="false">AV39*0.5</f>
        <v>129.5</v>
      </c>
      <c r="AX39" s="19"/>
      <c r="AY39" s="23" t="n">
        <v>0</v>
      </c>
    </row>
    <row r="40" customFormat="false" ht="15" hidden="false" customHeight="false" outlineLevel="0" collapsed="false">
      <c r="A40" s="16" t="n">
        <v>45304</v>
      </c>
      <c r="B40" s="22" t="s">
        <v>53</v>
      </c>
      <c r="C40" s="25" t="n">
        <v>8.21</v>
      </c>
      <c r="D40" s="23" t="n">
        <v>16.5</v>
      </c>
      <c r="E40" s="23" t="n">
        <v>55</v>
      </c>
      <c r="F40" s="23" t="n">
        <f aca="false">E40*0.6</f>
        <v>33</v>
      </c>
      <c r="G40" s="23" t="n">
        <v>1.33</v>
      </c>
      <c r="H40" s="23" t="n">
        <v>8.17</v>
      </c>
      <c r="I40" s="23" t="n">
        <v>16.6</v>
      </c>
      <c r="J40" s="23" t="n">
        <v>55</v>
      </c>
      <c r="K40" s="23" t="n">
        <f aca="false">0.6*J40</f>
        <v>33</v>
      </c>
      <c r="L40" s="23" t="n">
        <v>0.76</v>
      </c>
      <c r="M40" s="23" t="n">
        <v>8.17</v>
      </c>
      <c r="N40" s="23" t="n">
        <v>16.6</v>
      </c>
      <c r="O40" s="23" t="n">
        <v>55</v>
      </c>
      <c r="P40" s="23" t="n">
        <f aca="false">0.6*O40</f>
        <v>33</v>
      </c>
      <c r="Q40" s="23" t="n">
        <v>0.73</v>
      </c>
      <c r="R40" s="23" t="n">
        <v>8.11</v>
      </c>
      <c r="S40" s="23" t="n">
        <v>16.8</v>
      </c>
      <c r="T40" s="23" t="n">
        <v>54.9</v>
      </c>
      <c r="U40" s="23" t="n">
        <f aca="false">0.6*T40</f>
        <v>32.94</v>
      </c>
      <c r="V40" s="23" t="n">
        <v>0.02</v>
      </c>
      <c r="W40" s="23" t="n">
        <v>8.11</v>
      </c>
      <c r="X40" s="23" t="n">
        <v>16.8</v>
      </c>
      <c r="Y40" s="23" t="n">
        <v>54.9</v>
      </c>
      <c r="Z40" s="23" t="n">
        <f aca="false">0.6*Y40</f>
        <v>32.94</v>
      </c>
      <c r="AA40" s="23" t="n">
        <v>0.02</v>
      </c>
      <c r="AB40" s="23" t="n">
        <v>8.09</v>
      </c>
      <c r="AC40" s="23" t="n">
        <v>17</v>
      </c>
      <c r="AD40" s="23" t="n">
        <v>54.9</v>
      </c>
      <c r="AE40" s="23" t="n">
        <f aca="false">AD40*0.6</f>
        <v>32.94</v>
      </c>
      <c r="AF40" s="23" t="n">
        <v>0</v>
      </c>
      <c r="AG40" s="23" t="n">
        <v>0.01</v>
      </c>
      <c r="AH40" s="23"/>
      <c r="AI40" s="23" t="n">
        <v>8.09</v>
      </c>
      <c r="AJ40" s="23" t="n">
        <v>17</v>
      </c>
      <c r="AK40" s="23" t="n">
        <v>54.9</v>
      </c>
      <c r="AL40" s="23" t="n">
        <f aca="false">AK40*0.6</f>
        <v>32.94</v>
      </c>
      <c r="AM40" s="23" t="n">
        <v>0</v>
      </c>
      <c r="AN40" s="23" t="n">
        <v>0.01</v>
      </c>
      <c r="AO40" s="2" t="n">
        <v>6.01</v>
      </c>
      <c r="AP40" s="23" t="n">
        <v>17.4</v>
      </c>
      <c r="AQ40" s="23" t="n">
        <v>211</v>
      </c>
      <c r="AR40" s="23" t="n">
        <f aca="false">AQ40*0.5</f>
        <v>105.5</v>
      </c>
      <c r="AS40" s="23" t="n">
        <v>0</v>
      </c>
      <c r="AT40" s="23" t="n">
        <v>7.08</v>
      </c>
      <c r="AU40" s="23" t="n">
        <v>18</v>
      </c>
      <c r="AV40" s="23" t="n">
        <v>259</v>
      </c>
      <c r="AW40" s="23" t="n">
        <f aca="false">AV40*0.5</f>
        <v>129.5</v>
      </c>
      <c r="AX40" s="19" t="n">
        <v>0.8</v>
      </c>
      <c r="AY40" s="23" t="n">
        <v>0</v>
      </c>
    </row>
    <row r="41" customFormat="false" ht="15" hidden="false" customHeight="false" outlineLevel="0" collapsed="false">
      <c r="A41" s="16" t="n">
        <v>45305</v>
      </c>
      <c r="B41" s="17" t="s">
        <v>51</v>
      </c>
      <c r="C41" s="25" t="n">
        <v>8.23</v>
      </c>
      <c r="D41" s="23" t="n">
        <v>15.5</v>
      </c>
      <c r="E41" s="23" t="n">
        <v>55</v>
      </c>
      <c r="F41" s="23" t="n">
        <v>33</v>
      </c>
      <c r="G41" s="23" t="n">
        <v>0.59</v>
      </c>
      <c r="H41" s="23" t="n">
        <v>8.17</v>
      </c>
      <c r="I41" s="23" t="n">
        <v>15.6</v>
      </c>
      <c r="J41" s="23" t="n">
        <v>55</v>
      </c>
      <c r="K41" s="23" t="n">
        <f aca="false">0.6*J41</f>
        <v>33</v>
      </c>
      <c r="L41" s="23" t="n">
        <v>0.41</v>
      </c>
      <c r="M41" s="23" t="n">
        <v>8.17</v>
      </c>
      <c r="N41" s="23" t="n">
        <v>15.6</v>
      </c>
      <c r="O41" s="23" t="n">
        <v>55</v>
      </c>
      <c r="P41" s="23" t="n">
        <f aca="false">0.6*O41</f>
        <v>33</v>
      </c>
      <c r="Q41" s="23" t="n">
        <v>0.39</v>
      </c>
      <c r="R41" s="23" t="n">
        <v>8.11</v>
      </c>
      <c r="S41" s="23" t="n">
        <v>15.8</v>
      </c>
      <c r="T41" s="23" t="n">
        <v>54.9</v>
      </c>
      <c r="U41" s="23" t="n">
        <f aca="false">0.6*T41</f>
        <v>32.94</v>
      </c>
      <c r="V41" s="23" t="n">
        <v>0</v>
      </c>
      <c r="W41" s="23" t="n">
        <v>8.11</v>
      </c>
      <c r="X41" s="23" t="n">
        <v>15.6</v>
      </c>
      <c r="Y41" s="23" t="n">
        <v>54.9</v>
      </c>
      <c r="Z41" s="23" t="n">
        <f aca="false">0.6*Y41</f>
        <v>32.94</v>
      </c>
      <c r="AA41" s="23" t="n">
        <v>0</v>
      </c>
      <c r="AB41" s="23" t="n">
        <v>8.09</v>
      </c>
      <c r="AC41" s="23" t="n">
        <v>17</v>
      </c>
      <c r="AD41" s="23" t="n">
        <v>54.9</v>
      </c>
      <c r="AE41" s="23" t="n">
        <f aca="false">AD41*0.6</f>
        <v>32.94</v>
      </c>
      <c r="AF41" s="23" t="n">
        <v>0</v>
      </c>
      <c r="AG41" s="23" t="n">
        <v>0</v>
      </c>
      <c r="AH41" s="23"/>
      <c r="AI41" s="23" t="n">
        <v>8.09</v>
      </c>
      <c r="AJ41" s="23" t="n">
        <v>17</v>
      </c>
      <c r="AK41" s="23" t="n">
        <v>54.9</v>
      </c>
      <c r="AL41" s="23" t="n">
        <f aca="false">AK41*0.6</f>
        <v>32.94</v>
      </c>
      <c r="AM41" s="23" t="n">
        <v>0</v>
      </c>
      <c r="AN41" s="23" t="n">
        <v>0</v>
      </c>
      <c r="AO41" s="2" t="n">
        <v>6.12</v>
      </c>
      <c r="AP41" s="23" t="n">
        <v>17.2</v>
      </c>
      <c r="AQ41" s="23" t="n">
        <v>212</v>
      </c>
      <c r="AR41" s="23" t="n">
        <f aca="false">AQ41*0.5</f>
        <v>106</v>
      </c>
      <c r="AS41" s="23" t="n">
        <v>0</v>
      </c>
      <c r="AT41" s="23" t="n">
        <v>7.18</v>
      </c>
      <c r="AU41" s="23" t="n">
        <v>18</v>
      </c>
      <c r="AV41" s="23" t="n">
        <v>312</v>
      </c>
      <c r="AW41" s="23" t="n">
        <f aca="false">AV41*0.5</f>
        <v>156</v>
      </c>
      <c r="AX41" s="19" t="n">
        <v>0.8</v>
      </c>
      <c r="AY41" s="23" t="n">
        <v>0</v>
      </c>
    </row>
    <row r="42" customFormat="false" ht="15" hidden="false" customHeight="false" outlineLevel="0" collapsed="false">
      <c r="A42" s="16" t="n">
        <v>45305</v>
      </c>
      <c r="B42" s="22" t="s">
        <v>52</v>
      </c>
      <c r="C42" s="29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</row>
    <row r="43" customFormat="false" ht="15" hidden="false" customHeight="false" outlineLevel="0" collapsed="false">
      <c r="A43" s="16" t="n">
        <v>45305</v>
      </c>
      <c r="B43" s="22" t="s">
        <v>53</v>
      </c>
      <c r="C43" s="29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</row>
    <row r="44" customFormat="false" ht="15" hidden="false" customHeight="false" outlineLevel="0" collapsed="false">
      <c r="A44" s="16" t="n">
        <v>45306</v>
      </c>
      <c r="B44" s="17" t="s">
        <v>51</v>
      </c>
      <c r="C44" s="25" t="n">
        <v>8.22</v>
      </c>
      <c r="D44" s="23" t="n">
        <v>16.3</v>
      </c>
      <c r="E44" s="23" t="n">
        <v>55.2</v>
      </c>
      <c r="F44" s="23" t="n">
        <f aca="false">E44*0.6</f>
        <v>33.12</v>
      </c>
      <c r="G44" s="23" t="n">
        <v>1.01</v>
      </c>
      <c r="H44" s="23" t="n">
        <v>8.17</v>
      </c>
      <c r="I44" s="23" t="n">
        <v>16.4</v>
      </c>
      <c r="J44" s="23" t="n">
        <v>55.2</v>
      </c>
      <c r="K44" s="23" t="n">
        <f aca="false">0.6*J44</f>
        <v>33.12</v>
      </c>
      <c r="L44" s="23" t="n">
        <v>0.71</v>
      </c>
      <c r="M44" s="23" t="n">
        <v>8.17</v>
      </c>
      <c r="N44" s="23" t="n">
        <v>16.4</v>
      </c>
      <c r="O44" s="23" t="n">
        <v>55.1</v>
      </c>
      <c r="P44" s="23" t="n">
        <f aca="false">0.6*O44</f>
        <v>33.06</v>
      </c>
      <c r="Q44" s="23" t="n">
        <v>0.65</v>
      </c>
      <c r="R44" s="23" t="n">
        <v>8.11</v>
      </c>
      <c r="S44" s="23" t="n">
        <v>16.6</v>
      </c>
      <c r="T44" s="23" t="n">
        <v>54.9</v>
      </c>
      <c r="U44" s="23" t="n">
        <f aca="false">0.6*T44</f>
        <v>32.94</v>
      </c>
      <c r="V44" s="23" t="n">
        <v>0</v>
      </c>
      <c r="W44" s="23" t="n">
        <v>8.11</v>
      </c>
      <c r="X44" s="23" t="n">
        <v>16.4</v>
      </c>
      <c r="Y44" s="23" t="n">
        <v>54.9</v>
      </c>
      <c r="Z44" s="23" t="n">
        <f aca="false">0.6*Y44</f>
        <v>32.94</v>
      </c>
      <c r="AA44" s="23" t="n">
        <v>0</v>
      </c>
      <c r="AB44" s="23" t="n">
        <v>8.09</v>
      </c>
      <c r="AC44" s="23" t="n">
        <v>17</v>
      </c>
      <c r="AD44" s="23" t="n">
        <v>54.9</v>
      </c>
      <c r="AE44" s="23" t="n">
        <f aca="false">AD44*0.6</f>
        <v>32.94</v>
      </c>
      <c r="AF44" s="23" t="n">
        <v>0</v>
      </c>
      <c r="AG44" s="23" t="n">
        <v>0</v>
      </c>
      <c r="AH44" s="23"/>
      <c r="AI44" s="23" t="n">
        <v>8.09</v>
      </c>
      <c r="AJ44" s="23" t="n">
        <v>17</v>
      </c>
      <c r="AK44" s="23" t="n">
        <v>54.9</v>
      </c>
      <c r="AL44" s="23" t="n">
        <f aca="false">AK44*0.6</f>
        <v>32.94</v>
      </c>
      <c r="AM44" s="23" t="n">
        <v>0</v>
      </c>
      <c r="AN44" s="23" t="n">
        <v>0</v>
      </c>
      <c r="AP44" s="30"/>
      <c r="AQ44" s="30"/>
      <c r="AR44" s="30"/>
      <c r="AS44" s="30"/>
      <c r="AT44" s="30"/>
      <c r="AU44" s="30"/>
      <c r="AV44" s="30"/>
      <c r="AW44" s="30"/>
      <c r="AX44" s="30"/>
      <c r="AY44" s="30"/>
    </row>
    <row r="45" customFormat="false" ht="15" hidden="false" customHeight="false" outlineLevel="0" collapsed="false">
      <c r="A45" s="16" t="n">
        <v>45306</v>
      </c>
      <c r="B45" s="22" t="s">
        <v>52</v>
      </c>
      <c r="C45" s="25" t="n">
        <v>8.22</v>
      </c>
      <c r="D45" s="23" t="n">
        <v>16.5</v>
      </c>
      <c r="E45" s="23" t="n">
        <v>55.2</v>
      </c>
      <c r="F45" s="23" t="n">
        <f aca="false">E45*0.6</f>
        <v>33.12</v>
      </c>
      <c r="G45" s="23" t="n">
        <v>0.98</v>
      </c>
      <c r="H45" s="23" t="n">
        <v>8.17</v>
      </c>
      <c r="I45" s="23" t="n">
        <v>16.6</v>
      </c>
      <c r="J45" s="23" t="n">
        <v>55.2</v>
      </c>
      <c r="K45" s="23" t="n">
        <f aca="false">0.6*J45</f>
        <v>33.12</v>
      </c>
      <c r="L45" s="23" t="n">
        <v>0.59</v>
      </c>
      <c r="M45" s="23" t="n">
        <v>8.17</v>
      </c>
      <c r="N45" s="23" t="n">
        <v>16.6</v>
      </c>
      <c r="O45" s="23" t="n">
        <v>55.1</v>
      </c>
      <c r="P45" s="23" t="n">
        <f aca="false">0.6*O45</f>
        <v>33.06</v>
      </c>
      <c r="Q45" s="23" t="n">
        <v>0.66</v>
      </c>
      <c r="R45" s="23" t="n">
        <v>8.11</v>
      </c>
      <c r="S45" s="23" t="n">
        <v>16.8</v>
      </c>
      <c r="T45" s="23" t="n">
        <v>54.9</v>
      </c>
      <c r="U45" s="23" t="n">
        <f aca="false">0.6*T45</f>
        <v>32.94</v>
      </c>
      <c r="V45" s="23" t="n">
        <v>0</v>
      </c>
      <c r="W45" s="23" t="n">
        <v>8.11</v>
      </c>
      <c r="X45" s="23" t="n">
        <v>16.8</v>
      </c>
      <c r="Y45" s="23" t="n">
        <v>54.9</v>
      </c>
      <c r="Z45" s="23" t="n">
        <f aca="false">0.6*Y45</f>
        <v>32.94</v>
      </c>
      <c r="AA45" s="23" t="n">
        <v>0</v>
      </c>
      <c r="AB45" s="23" t="n">
        <v>8.09</v>
      </c>
      <c r="AC45" s="23" t="n">
        <v>17.2</v>
      </c>
      <c r="AD45" s="23" t="n">
        <v>54.9</v>
      </c>
      <c r="AE45" s="23" t="n">
        <f aca="false">AD45*0.6</f>
        <v>32.94</v>
      </c>
      <c r="AF45" s="23" t="n">
        <v>0</v>
      </c>
      <c r="AG45" s="23" t="n">
        <v>0</v>
      </c>
      <c r="AH45" s="23"/>
      <c r="AI45" s="23" t="n">
        <v>8.09</v>
      </c>
      <c r="AJ45" s="23" t="n">
        <v>17.2</v>
      </c>
      <c r="AK45" s="23" t="n">
        <v>54.9</v>
      </c>
      <c r="AL45" s="23" t="n">
        <f aca="false">0.6*AK45</f>
        <v>32.94</v>
      </c>
      <c r="AM45" s="23" t="n">
        <v>0</v>
      </c>
      <c r="AN45" s="23" t="n">
        <v>0</v>
      </c>
      <c r="AP45" s="31"/>
      <c r="AQ45" s="31"/>
      <c r="AR45" s="31"/>
      <c r="AS45" s="31"/>
      <c r="AT45" s="31"/>
      <c r="AU45" s="31"/>
      <c r="AV45" s="31"/>
      <c r="AW45" s="31"/>
      <c r="AX45" s="31"/>
      <c r="AY45" s="31"/>
    </row>
    <row r="46" customFormat="false" ht="15" hidden="false" customHeight="false" outlineLevel="0" collapsed="false">
      <c r="A46" s="16" t="n">
        <v>45306</v>
      </c>
      <c r="B46" s="22" t="s">
        <v>53</v>
      </c>
      <c r="C46" s="25" t="n">
        <v>8.21</v>
      </c>
      <c r="D46" s="19" t="n">
        <v>17.9</v>
      </c>
      <c r="E46" s="23" t="n">
        <v>55.1</v>
      </c>
      <c r="F46" s="23" t="n">
        <f aca="false">E46*0.6</f>
        <v>33.06</v>
      </c>
      <c r="G46" s="23" t="n">
        <v>1.63</v>
      </c>
      <c r="H46" s="23" t="n">
        <v>8.18</v>
      </c>
      <c r="I46" s="23" t="n">
        <v>16.4</v>
      </c>
      <c r="J46" s="23" t="n">
        <v>55.2</v>
      </c>
      <c r="K46" s="23" t="n">
        <f aca="false">J46*0.6</f>
        <v>33.12</v>
      </c>
      <c r="L46" s="23" t="n">
        <v>0.63</v>
      </c>
      <c r="M46" s="23" t="n">
        <v>8.18</v>
      </c>
      <c r="N46" s="23" t="n">
        <v>16.4</v>
      </c>
      <c r="O46" s="23" t="n">
        <v>55.2</v>
      </c>
      <c r="P46" s="23" t="n">
        <f aca="false">O46*0.6</f>
        <v>33.12</v>
      </c>
      <c r="Q46" s="23" t="n">
        <v>0.67</v>
      </c>
      <c r="R46" s="23" t="n">
        <v>8.17</v>
      </c>
      <c r="S46" s="23" t="n">
        <v>16.4</v>
      </c>
      <c r="T46" s="23" t="n">
        <v>55.2</v>
      </c>
      <c r="U46" s="23" t="n">
        <f aca="false">T46*0.6</f>
        <v>33.12</v>
      </c>
      <c r="V46" s="23" t="n">
        <v>0</v>
      </c>
      <c r="W46" s="23" t="n">
        <v>8.17</v>
      </c>
      <c r="X46" s="23" t="n">
        <v>16.4</v>
      </c>
      <c r="Y46" s="23" t="n">
        <v>55.2</v>
      </c>
      <c r="Z46" s="23" t="n">
        <f aca="false">Y46*0.6</f>
        <v>33.12</v>
      </c>
      <c r="AA46" s="23" t="n">
        <v>0</v>
      </c>
      <c r="AB46" s="23" t="n">
        <v>8.09</v>
      </c>
      <c r="AC46" s="23" t="n">
        <v>17.2</v>
      </c>
      <c r="AD46" s="23" t="n">
        <v>54.9</v>
      </c>
      <c r="AE46" s="23" t="n">
        <f aca="false">AD46*0.6</f>
        <v>32.94</v>
      </c>
      <c r="AF46" s="23" t="n">
        <v>0</v>
      </c>
      <c r="AG46" s="23" t="n">
        <v>0</v>
      </c>
      <c r="AH46" s="23"/>
      <c r="AI46" s="23" t="n">
        <v>8.09</v>
      </c>
      <c r="AJ46" s="23" t="n">
        <v>17.2</v>
      </c>
      <c r="AK46" s="23" t="n">
        <v>54.9</v>
      </c>
      <c r="AL46" s="23" t="n">
        <f aca="false">AK46*0.6</f>
        <v>32.94</v>
      </c>
      <c r="AM46" s="23" t="n">
        <v>0</v>
      </c>
      <c r="AN46" s="23" t="n">
        <v>0</v>
      </c>
      <c r="AO46" s="2" t="n">
        <v>6.2</v>
      </c>
      <c r="AP46" s="23" t="n">
        <v>16</v>
      </c>
      <c r="AQ46" s="23" t="n">
        <v>221</v>
      </c>
      <c r="AR46" s="23" t="n">
        <f aca="false">AQ46*0.5</f>
        <v>110.5</v>
      </c>
      <c r="AS46" s="23" t="n">
        <v>0</v>
      </c>
      <c r="AT46" s="23" t="n">
        <v>7.25</v>
      </c>
      <c r="AU46" s="23" t="n">
        <v>17.3</v>
      </c>
      <c r="AV46" s="23" t="n">
        <v>570</v>
      </c>
      <c r="AW46" s="23" t="n">
        <f aca="false">AV46*0.5</f>
        <v>285</v>
      </c>
      <c r="AX46" s="19" t="n">
        <v>2.15</v>
      </c>
      <c r="AY46" s="23" t="n">
        <v>0</v>
      </c>
    </row>
    <row r="47" customFormat="false" ht="15" hidden="false" customHeight="false" outlineLevel="0" collapsed="false">
      <c r="A47" s="16" t="n">
        <v>45307</v>
      </c>
      <c r="B47" s="17" t="s">
        <v>51</v>
      </c>
      <c r="C47" s="32" t="n">
        <v>8.19</v>
      </c>
      <c r="D47" s="33" t="n">
        <v>17</v>
      </c>
      <c r="E47" s="33" t="n">
        <v>55</v>
      </c>
      <c r="F47" s="33" t="n">
        <v>33</v>
      </c>
      <c r="G47" s="33" t="n">
        <v>0.73</v>
      </c>
      <c r="H47" s="33" t="n">
        <v>8.17</v>
      </c>
      <c r="I47" s="33" t="n">
        <v>16.4</v>
      </c>
      <c r="J47" s="33" t="n">
        <v>55.1</v>
      </c>
      <c r="K47" s="33" t="n">
        <f aca="false">0.6*J47</f>
        <v>33.06</v>
      </c>
      <c r="L47" s="33" t="n">
        <v>1.51</v>
      </c>
      <c r="M47" s="33" t="n">
        <v>8.18</v>
      </c>
      <c r="N47" s="33" t="n">
        <v>16.3</v>
      </c>
      <c r="O47" s="33" t="n">
        <v>55.1</v>
      </c>
      <c r="P47" s="33" t="n">
        <f aca="false">0.6*O47</f>
        <v>33.06</v>
      </c>
      <c r="Q47" s="33" t="n">
        <v>1.63</v>
      </c>
      <c r="R47" s="33" t="n">
        <v>8.18</v>
      </c>
      <c r="S47" s="33" t="n">
        <v>16.2</v>
      </c>
      <c r="T47" s="33" t="n">
        <v>55</v>
      </c>
      <c r="U47" s="33" t="n">
        <f aca="false">0.6*T47</f>
        <v>33</v>
      </c>
      <c r="V47" s="33" t="n">
        <v>0</v>
      </c>
      <c r="W47" s="33" t="n">
        <v>8.18</v>
      </c>
      <c r="X47" s="33" t="n">
        <v>16.1</v>
      </c>
      <c r="Y47" s="33" t="n">
        <v>55.2</v>
      </c>
      <c r="Z47" s="33" t="n">
        <f aca="false">0.6*Y47</f>
        <v>33.12</v>
      </c>
      <c r="AA47" s="33" t="n">
        <v>0</v>
      </c>
      <c r="AB47" s="33" t="n">
        <v>8.16</v>
      </c>
      <c r="AC47" s="33" t="n">
        <v>16.4</v>
      </c>
      <c r="AD47" s="33" t="n">
        <v>55.1</v>
      </c>
      <c r="AE47" s="33" t="n">
        <f aca="false">AD47*0.6</f>
        <v>33.06</v>
      </c>
      <c r="AF47" s="33" t="n">
        <v>0</v>
      </c>
      <c r="AG47" s="33" t="n">
        <v>0</v>
      </c>
      <c r="AH47" s="33"/>
      <c r="AI47" s="33" t="n">
        <v>8.16</v>
      </c>
      <c r="AJ47" s="33" t="n">
        <v>16.4</v>
      </c>
      <c r="AK47" s="33" t="n">
        <v>55.1</v>
      </c>
      <c r="AL47" s="33" t="n">
        <f aca="false">AK47*0.6</f>
        <v>33.06</v>
      </c>
      <c r="AM47" s="33" t="n">
        <v>0</v>
      </c>
      <c r="AN47" s="33" t="n">
        <v>0</v>
      </c>
      <c r="AO47" s="2" t="n">
        <v>6.28</v>
      </c>
      <c r="AP47" s="33" t="n">
        <v>16.9</v>
      </c>
      <c r="AQ47" s="33" t="n">
        <v>208</v>
      </c>
      <c r="AR47" s="33" t="n">
        <f aca="false">AQ47*0.5</f>
        <v>104</v>
      </c>
      <c r="AS47" s="33" t="n">
        <v>0</v>
      </c>
      <c r="AT47" s="33" t="n">
        <v>7.12</v>
      </c>
      <c r="AU47" s="33" t="n">
        <v>17.3</v>
      </c>
      <c r="AV47" s="33" t="n">
        <v>328</v>
      </c>
      <c r="AW47" s="33" t="n">
        <f aca="false">AV47*0.5</f>
        <v>164</v>
      </c>
      <c r="AX47" s="34" t="n">
        <v>0.8</v>
      </c>
      <c r="AY47" s="33" t="n">
        <v>0</v>
      </c>
    </row>
    <row r="48" customFormat="false" ht="15" hidden="false" customHeight="false" outlineLevel="0" collapsed="false">
      <c r="A48" s="16" t="n">
        <v>45307</v>
      </c>
      <c r="B48" s="22" t="s">
        <v>52</v>
      </c>
      <c r="C48" s="32" t="n">
        <v>8.2</v>
      </c>
      <c r="D48" s="33" t="n">
        <v>18.1</v>
      </c>
      <c r="E48" s="33" t="n">
        <v>54.8</v>
      </c>
      <c r="F48" s="33" t="n">
        <f aca="false">E48*0.6</f>
        <v>32.88</v>
      </c>
      <c r="G48" s="33" t="n">
        <v>0.47</v>
      </c>
      <c r="H48" s="33" t="n">
        <v>8.2</v>
      </c>
      <c r="I48" s="33" t="n">
        <v>16.4</v>
      </c>
      <c r="J48" s="33" t="n">
        <v>55.1</v>
      </c>
      <c r="K48" s="33" t="n">
        <f aca="false">J48*0.6</f>
        <v>33.06</v>
      </c>
      <c r="L48" s="33" t="n">
        <v>1.61</v>
      </c>
      <c r="M48" s="33" t="n">
        <v>8.2</v>
      </c>
      <c r="N48" s="33" t="n">
        <v>16.3</v>
      </c>
      <c r="O48" s="33" t="n">
        <v>55.2</v>
      </c>
      <c r="P48" s="33" t="n">
        <f aca="false">O48*0.6</f>
        <v>33.12</v>
      </c>
      <c r="Q48" s="33" t="n">
        <v>0.65</v>
      </c>
      <c r="R48" s="33" t="n">
        <v>8.2</v>
      </c>
      <c r="S48" s="33" t="n">
        <v>16.6</v>
      </c>
      <c r="T48" s="33" t="n">
        <v>55.2</v>
      </c>
      <c r="U48" s="33" t="n">
        <f aca="false">T48*0.6</f>
        <v>33.12</v>
      </c>
      <c r="V48" s="33" t="n">
        <v>0</v>
      </c>
      <c r="W48" s="33" t="n">
        <v>8.2</v>
      </c>
      <c r="X48" s="33" t="n">
        <v>16.5</v>
      </c>
      <c r="Y48" s="33" t="n">
        <v>55.2</v>
      </c>
      <c r="Z48" s="33" t="n">
        <f aca="false">Y48*0.6</f>
        <v>33.12</v>
      </c>
      <c r="AA48" s="33" t="n">
        <v>0</v>
      </c>
      <c r="AB48" s="33" t="n">
        <v>8.11</v>
      </c>
      <c r="AC48" s="33" t="n">
        <v>16.4</v>
      </c>
      <c r="AD48" s="33" t="n">
        <v>55.1</v>
      </c>
      <c r="AE48" s="33" t="n">
        <f aca="false">AD48*0.6</f>
        <v>33.06</v>
      </c>
      <c r="AF48" s="33" t="n">
        <v>0</v>
      </c>
      <c r="AG48" s="33" t="n">
        <v>0</v>
      </c>
      <c r="AH48" s="33"/>
      <c r="AI48" s="33" t="n">
        <v>8.11</v>
      </c>
      <c r="AJ48" s="33" t="n">
        <v>16.4</v>
      </c>
      <c r="AK48" s="33" t="n">
        <v>55.1</v>
      </c>
      <c r="AL48" s="33" t="n">
        <f aca="false">0.6*AK48</f>
        <v>33.06</v>
      </c>
      <c r="AM48" s="33" t="n">
        <v>0</v>
      </c>
      <c r="AN48" s="33" t="n">
        <v>0</v>
      </c>
      <c r="AO48" s="2" t="n">
        <v>6.4</v>
      </c>
      <c r="AP48" s="33" t="n">
        <v>17</v>
      </c>
      <c r="AQ48" s="33" t="n">
        <v>186.3</v>
      </c>
      <c r="AR48" s="33" t="n">
        <f aca="false">AQ48*0.5</f>
        <v>93.15</v>
      </c>
      <c r="AS48" s="33" t="n">
        <v>0</v>
      </c>
      <c r="AT48" s="33" t="n">
        <v>7.02</v>
      </c>
      <c r="AU48" s="33" t="n">
        <v>17.5</v>
      </c>
      <c r="AV48" s="33" t="n">
        <v>263</v>
      </c>
      <c r="AW48" s="33" t="n">
        <f aca="false">AV48*0.5</f>
        <v>131.5</v>
      </c>
      <c r="AX48" s="34"/>
      <c r="AY48" s="33" t="n">
        <v>0</v>
      </c>
    </row>
    <row r="49" customFormat="false" ht="15" hidden="false" customHeight="false" outlineLevel="0" collapsed="false">
      <c r="A49" s="16" t="n">
        <v>45307</v>
      </c>
      <c r="B49" s="22" t="s">
        <v>53</v>
      </c>
      <c r="C49" s="32" t="n">
        <v>8.21</v>
      </c>
      <c r="D49" s="33" t="n">
        <v>19.8</v>
      </c>
      <c r="E49" s="33" t="n">
        <v>55.1</v>
      </c>
      <c r="F49" s="33" t="n">
        <f aca="false">E49*0.6</f>
        <v>33.06</v>
      </c>
      <c r="G49" s="33" t="n">
        <v>0.3</v>
      </c>
      <c r="H49" s="33" t="n">
        <v>8.18</v>
      </c>
      <c r="I49" s="33" t="n">
        <v>18.6</v>
      </c>
      <c r="J49" s="33" t="n">
        <v>55.1</v>
      </c>
      <c r="K49" s="33" t="n">
        <f aca="false">0.6*J49</f>
        <v>33.06</v>
      </c>
      <c r="L49" s="33" t="n">
        <v>0.54</v>
      </c>
      <c r="M49" s="33" t="n">
        <v>8.18</v>
      </c>
      <c r="N49" s="33" t="n">
        <v>18.6</v>
      </c>
      <c r="O49" s="33" t="n">
        <v>55.1</v>
      </c>
      <c r="P49" s="33" t="n">
        <f aca="false">0.6*O49</f>
        <v>33.06</v>
      </c>
      <c r="Q49" s="33" t="n">
        <v>0.5</v>
      </c>
      <c r="R49" s="33" t="n">
        <v>8.17</v>
      </c>
      <c r="S49" s="33" t="n">
        <v>17.6</v>
      </c>
      <c r="T49" s="33" t="n">
        <v>55.1</v>
      </c>
      <c r="U49" s="33" t="n">
        <f aca="false">0.6*T49</f>
        <v>33.06</v>
      </c>
      <c r="V49" s="33" t="n">
        <v>0</v>
      </c>
      <c r="W49" s="33" t="n">
        <v>8.17</v>
      </c>
      <c r="X49" s="33" t="n">
        <v>17.6</v>
      </c>
      <c r="Y49" s="33" t="n">
        <v>55.1</v>
      </c>
      <c r="Z49" s="33" t="n">
        <f aca="false">0.6*Y49</f>
        <v>33.06</v>
      </c>
      <c r="AA49" s="33" t="n">
        <v>0</v>
      </c>
      <c r="AB49" s="33" t="n">
        <v>8.15</v>
      </c>
      <c r="AC49" s="33" t="n">
        <v>17.1</v>
      </c>
      <c r="AD49" s="33" t="n">
        <v>55.1</v>
      </c>
      <c r="AE49" s="33" t="n">
        <f aca="false">AD49*0.6</f>
        <v>33.06</v>
      </c>
      <c r="AF49" s="33" t="n">
        <v>0</v>
      </c>
      <c r="AG49" s="33" t="n">
        <v>0</v>
      </c>
      <c r="AH49" s="33"/>
      <c r="AI49" s="33" t="n">
        <v>8.15</v>
      </c>
      <c r="AJ49" s="33" t="n">
        <v>17.1</v>
      </c>
      <c r="AK49" s="33" t="n">
        <v>55.1</v>
      </c>
      <c r="AL49" s="33" t="n">
        <f aca="false">AK49*0.6</f>
        <v>33.06</v>
      </c>
      <c r="AM49" s="33" t="n">
        <v>0</v>
      </c>
      <c r="AN49" s="33" t="n">
        <v>0</v>
      </c>
      <c r="AO49" s="2" t="n">
        <v>6.38</v>
      </c>
      <c r="AP49" s="33" t="n">
        <v>17.7</v>
      </c>
      <c r="AQ49" s="33" t="n">
        <v>199</v>
      </c>
      <c r="AR49" s="33" t="n">
        <f aca="false">AQ49*0.5</f>
        <v>99.5</v>
      </c>
      <c r="AS49" s="33" t="n">
        <v>0</v>
      </c>
      <c r="AT49" s="33" t="n">
        <v>6.93</v>
      </c>
      <c r="AU49" s="33" t="n">
        <v>18.2</v>
      </c>
      <c r="AV49" s="33" t="n">
        <v>265</v>
      </c>
      <c r="AW49" s="33" t="n">
        <f aca="false">AV49*0.5</f>
        <v>132.5</v>
      </c>
      <c r="AX49" s="34" t="n">
        <v>0.8</v>
      </c>
      <c r="AY49" s="33" t="n">
        <v>0</v>
      </c>
    </row>
    <row r="50" customFormat="false" ht="15" hidden="false" customHeight="false" outlineLevel="0" collapsed="false">
      <c r="A50" s="16" t="n">
        <v>45308</v>
      </c>
      <c r="B50" s="17" t="s">
        <v>51</v>
      </c>
      <c r="C50" s="32" t="n">
        <v>8.19</v>
      </c>
      <c r="D50" s="33" t="n">
        <v>17.9</v>
      </c>
      <c r="E50" s="33" t="n">
        <v>55.5</v>
      </c>
      <c r="F50" s="33" t="n">
        <f aca="false">E50*0.6</f>
        <v>33.3</v>
      </c>
      <c r="G50" s="33" t="n">
        <v>0.32</v>
      </c>
      <c r="H50" s="33" t="n">
        <v>8.17</v>
      </c>
      <c r="I50" s="33" t="n">
        <v>18</v>
      </c>
      <c r="J50" s="33" t="n">
        <v>55.5</v>
      </c>
      <c r="K50" s="33" t="n">
        <f aca="false">0.6*J50</f>
        <v>33.3</v>
      </c>
      <c r="L50" s="33" t="n">
        <v>0.58</v>
      </c>
      <c r="M50" s="33" t="n">
        <v>8.18</v>
      </c>
      <c r="N50" s="33" t="n">
        <v>18</v>
      </c>
      <c r="O50" s="33" t="n">
        <v>55.5</v>
      </c>
      <c r="P50" s="33" t="n">
        <f aca="false">0.6*O50</f>
        <v>33.3</v>
      </c>
      <c r="Q50" s="33" t="n">
        <v>0.58</v>
      </c>
      <c r="R50" s="33" t="n">
        <v>8.18</v>
      </c>
      <c r="S50" s="33" t="n">
        <v>17.5</v>
      </c>
      <c r="T50" s="33" t="n">
        <v>55.2</v>
      </c>
      <c r="U50" s="33" t="n">
        <f aca="false">0.6*T50</f>
        <v>33.12</v>
      </c>
      <c r="V50" s="33" t="n">
        <v>0</v>
      </c>
      <c r="W50" s="33" t="n">
        <v>8.18</v>
      </c>
      <c r="X50" s="33" t="n">
        <v>17.5</v>
      </c>
      <c r="Y50" s="33" t="n">
        <v>55.2</v>
      </c>
      <c r="Z50" s="33" t="n">
        <f aca="false">0.6*Y50</f>
        <v>33.12</v>
      </c>
      <c r="AA50" s="33" t="n">
        <v>0</v>
      </c>
      <c r="AB50" s="33" t="n">
        <v>8.16</v>
      </c>
      <c r="AC50" s="33" t="n">
        <v>17.3</v>
      </c>
      <c r="AD50" s="33" t="n">
        <v>55.1</v>
      </c>
      <c r="AE50" s="33" t="n">
        <f aca="false">AD50*0.6</f>
        <v>33.06</v>
      </c>
      <c r="AF50" s="33" t="n">
        <v>0</v>
      </c>
      <c r="AG50" s="33" t="n">
        <v>0</v>
      </c>
      <c r="AH50" s="33"/>
      <c r="AI50" s="33" t="n">
        <v>8.16</v>
      </c>
      <c r="AJ50" s="33" t="n">
        <v>17.3</v>
      </c>
      <c r="AK50" s="33" t="n">
        <v>55.1</v>
      </c>
      <c r="AL50" s="33" t="n">
        <f aca="false">AK50*0.6</f>
        <v>33.06</v>
      </c>
      <c r="AM50" s="33" t="n">
        <v>0</v>
      </c>
      <c r="AN50" s="33" t="n">
        <v>0</v>
      </c>
      <c r="AO50" s="2" t="n">
        <v>6.33</v>
      </c>
      <c r="AP50" s="33" t="n">
        <v>17.3</v>
      </c>
      <c r="AQ50" s="33" t="n">
        <v>264</v>
      </c>
      <c r="AR50" s="33" t="n">
        <f aca="false">AQ50*0.5</f>
        <v>132</v>
      </c>
      <c r="AS50" s="33" t="n">
        <v>0</v>
      </c>
      <c r="AT50" s="33" t="n">
        <v>7.12</v>
      </c>
      <c r="AU50" s="35" t="n">
        <v>18</v>
      </c>
      <c r="AV50" s="33" t="n">
        <v>301</v>
      </c>
      <c r="AW50" s="33" t="n">
        <f aca="false">AV50*0.5</f>
        <v>150.5</v>
      </c>
      <c r="AX50" s="36" t="n">
        <v>0.8</v>
      </c>
      <c r="AY50" s="33" t="n">
        <v>0</v>
      </c>
    </row>
    <row r="51" customFormat="false" ht="15" hidden="false" customHeight="false" outlineLevel="0" collapsed="false">
      <c r="A51" s="16" t="n">
        <v>45308</v>
      </c>
      <c r="B51" s="22" t="s">
        <v>52</v>
      </c>
      <c r="C51" s="32" t="n">
        <v>8.09</v>
      </c>
      <c r="D51" s="33" t="n">
        <v>18.7</v>
      </c>
      <c r="E51" s="33" t="n">
        <v>54.9</v>
      </c>
      <c r="F51" s="33" t="n">
        <f aca="false">E51*0.6</f>
        <v>32.94</v>
      </c>
      <c r="G51" s="33" t="n">
        <v>0.49</v>
      </c>
      <c r="H51" s="33" t="n">
        <v>8.05</v>
      </c>
      <c r="I51" s="33" t="n">
        <v>17.2</v>
      </c>
      <c r="J51" s="33" t="n">
        <v>55.1</v>
      </c>
      <c r="K51" s="33" t="n">
        <f aca="false">J51*0.6</f>
        <v>33.06</v>
      </c>
      <c r="L51" s="33" t="n">
        <v>1.09</v>
      </c>
      <c r="M51" s="33" t="n">
        <v>8.05</v>
      </c>
      <c r="N51" s="33" t="n">
        <v>17.2</v>
      </c>
      <c r="O51" s="33" t="n">
        <v>55.1</v>
      </c>
      <c r="P51" s="33" t="n">
        <f aca="false">O51*0.6</f>
        <v>33.06</v>
      </c>
      <c r="Q51" s="33" t="n">
        <v>1.09</v>
      </c>
      <c r="R51" s="33" t="n">
        <v>8.03</v>
      </c>
      <c r="S51" s="33" t="n">
        <v>17.4</v>
      </c>
      <c r="T51" s="33" t="n">
        <v>55.1</v>
      </c>
      <c r="U51" s="33" t="n">
        <f aca="false">T51*0.6</f>
        <v>33.06</v>
      </c>
      <c r="V51" s="33" t="n">
        <v>0</v>
      </c>
      <c r="W51" s="33" t="n">
        <v>8.03</v>
      </c>
      <c r="X51" s="33" t="n">
        <v>17.4</v>
      </c>
      <c r="Y51" s="33" t="n">
        <v>55.1</v>
      </c>
      <c r="Z51" s="33" t="n">
        <f aca="false">Y51*0.6</f>
        <v>33.06</v>
      </c>
      <c r="AA51" s="33" t="n">
        <v>0</v>
      </c>
      <c r="AB51" s="33" t="n">
        <v>8.03</v>
      </c>
      <c r="AC51" s="33" t="n">
        <v>17.3</v>
      </c>
      <c r="AD51" s="33" t="n">
        <v>55.1</v>
      </c>
      <c r="AE51" s="33" t="n">
        <f aca="false">AD51*0.6</f>
        <v>33.06</v>
      </c>
      <c r="AF51" s="33" t="n">
        <v>0</v>
      </c>
      <c r="AG51" s="33" t="n">
        <v>0</v>
      </c>
      <c r="AH51" s="33"/>
      <c r="AI51" s="33" t="n">
        <v>8.03</v>
      </c>
      <c r="AJ51" s="33" t="n">
        <v>17.3</v>
      </c>
      <c r="AK51" s="33" t="n">
        <v>55.1</v>
      </c>
      <c r="AL51" s="33" t="n">
        <f aca="false">0.6*AK51</f>
        <v>33.06</v>
      </c>
      <c r="AM51" s="33" t="n">
        <v>0</v>
      </c>
      <c r="AN51" s="33" t="n">
        <v>0</v>
      </c>
      <c r="AO51" s="2" t="n">
        <v>6.36</v>
      </c>
      <c r="AP51" s="33" t="n">
        <v>17.6</v>
      </c>
      <c r="AQ51" s="33" t="n">
        <v>217</v>
      </c>
      <c r="AR51" s="33" t="n">
        <f aca="false">AQ51*0.5</f>
        <v>108.5</v>
      </c>
      <c r="AS51" s="33" t="n">
        <v>0</v>
      </c>
      <c r="AT51" s="33" t="n">
        <v>6.88</v>
      </c>
      <c r="AU51" s="33" t="n">
        <v>17.7</v>
      </c>
      <c r="AV51" s="33" t="n">
        <v>268</v>
      </c>
      <c r="AW51" s="33" t="n">
        <f aca="false">AV51*0.5</f>
        <v>134</v>
      </c>
      <c r="AX51" s="34"/>
      <c r="AY51" s="33" t="n">
        <v>0</v>
      </c>
    </row>
    <row r="52" customFormat="false" ht="15" hidden="false" customHeight="false" outlineLevel="0" collapsed="false">
      <c r="A52" s="16" t="n">
        <v>45308</v>
      </c>
      <c r="B52" s="22" t="s">
        <v>53</v>
      </c>
      <c r="C52" s="32" t="n">
        <v>8.09</v>
      </c>
      <c r="D52" s="33" t="n">
        <v>21.3</v>
      </c>
      <c r="E52" s="33" t="n">
        <v>55.1</v>
      </c>
      <c r="F52" s="33" t="n">
        <f aca="false">E52*0.6</f>
        <v>33.06</v>
      </c>
      <c r="G52" s="33" t="n">
        <v>0.39</v>
      </c>
      <c r="H52" s="33" t="n">
        <v>8.07</v>
      </c>
      <c r="I52" s="33" t="n">
        <v>21</v>
      </c>
      <c r="J52" s="33" t="n">
        <v>55.1</v>
      </c>
      <c r="K52" s="33" t="n">
        <f aca="false">0.6*J52</f>
        <v>33.06</v>
      </c>
      <c r="L52" s="33" t="n">
        <v>0.58</v>
      </c>
      <c r="M52" s="33" t="n">
        <v>8.07</v>
      </c>
      <c r="N52" s="33" t="n">
        <v>21</v>
      </c>
      <c r="O52" s="33" t="n">
        <v>55.1</v>
      </c>
      <c r="P52" s="33" t="n">
        <f aca="false">0.6*O52</f>
        <v>33.06</v>
      </c>
      <c r="Q52" s="33" t="n">
        <v>0.58</v>
      </c>
      <c r="R52" s="33" t="n">
        <v>8.05</v>
      </c>
      <c r="S52" s="33" t="n">
        <v>19</v>
      </c>
      <c r="T52" s="33" t="n">
        <v>55.1</v>
      </c>
      <c r="U52" s="33" t="n">
        <f aca="false">0.6*T52</f>
        <v>33.06</v>
      </c>
      <c r="V52" s="33" t="n">
        <v>0</v>
      </c>
      <c r="W52" s="33" t="n">
        <v>8.05</v>
      </c>
      <c r="X52" s="33" t="n">
        <v>19</v>
      </c>
      <c r="Y52" s="33" t="n">
        <v>55.1</v>
      </c>
      <c r="Z52" s="33" t="n">
        <f aca="false">0.6*Y52</f>
        <v>33.06</v>
      </c>
      <c r="AA52" s="33" t="n">
        <v>0</v>
      </c>
      <c r="AB52" s="33" t="n">
        <v>8.04</v>
      </c>
      <c r="AC52" s="33" t="n">
        <v>18.4</v>
      </c>
      <c r="AD52" s="33" t="n">
        <v>55.1</v>
      </c>
      <c r="AE52" s="33" t="n">
        <f aca="false">AD52*0.6</f>
        <v>33.06</v>
      </c>
      <c r="AF52" s="33" t="n">
        <v>0</v>
      </c>
      <c r="AG52" s="33" t="n">
        <v>0</v>
      </c>
      <c r="AH52" s="33"/>
      <c r="AI52" s="33" t="n">
        <v>8.04</v>
      </c>
      <c r="AJ52" s="33" t="n">
        <v>18.4</v>
      </c>
      <c r="AK52" s="33" t="n">
        <v>55.1</v>
      </c>
      <c r="AL52" s="33" t="n">
        <f aca="false">AK52*0.6</f>
        <v>33.06</v>
      </c>
      <c r="AM52" s="33" t="n">
        <v>0</v>
      </c>
      <c r="AN52" s="33" t="n">
        <v>0</v>
      </c>
      <c r="AO52" s="2" t="n">
        <v>6.31</v>
      </c>
      <c r="AP52" s="33" t="n">
        <v>18.3</v>
      </c>
      <c r="AQ52" s="33" t="n">
        <v>193.3</v>
      </c>
      <c r="AR52" s="33" t="n">
        <f aca="false">AQ52*0.5</f>
        <v>96.65</v>
      </c>
      <c r="AS52" s="33" t="n">
        <v>0</v>
      </c>
      <c r="AT52" s="33" t="n">
        <v>6.85</v>
      </c>
      <c r="AU52" s="35" t="n">
        <v>18.1</v>
      </c>
      <c r="AV52" s="33" t="n">
        <v>265</v>
      </c>
      <c r="AW52" s="33" t="n">
        <f aca="false">AV52*0.5</f>
        <v>132.5</v>
      </c>
      <c r="AX52" s="36" t="n">
        <v>0.8</v>
      </c>
      <c r="AY52" s="33" t="n">
        <v>0</v>
      </c>
    </row>
    <row r="53" customFormat="false" ht="15" hidden="false" customHeight="false" outlineLevel="0" collapsed="false">
      <c r="A53" s="16" t="n">
        <v>45309</v>
      </c>
      <c r="B53" s="17" t="s">
        <v>51</v>
      </c>
      <c r="C53" s="32" t="n">
        <v>8.09</v>
      </c>
      <c r="D53" s="33" t="n">
        <v>19.8</v>
      </c>
      <c r="E53" s="33" t="n">
        <v>54.9</v>
      </c>
      <c r="F53" s="33" t="n">
        <f aca="false">E53*0.6</f>
        <v>32.94</v>
      </c>
      <c r="G53" s="33" t="n">
        <v>0.55</v>
      </c>
      <c r="H53" s="33" t="n">
        <v>8.08</v>
      </c>
      <c r="I53" s="33" t="n">
        <v>18.2</v>
      </c>
      <c r="J53" s="33" t="n">
        <v>54.9</v>
      </c>
      <c r="K53" s="33" t="n">
        <f aca="false">0.6*J53</f>
        <v>32.94</v>
      </c>
      <c r="L53" s="33" t="n">
        <v>0.8</v>
      </c>
      <c r="M53" s="33" t="n">
        <v>8.08</v>
      </c>
      <c r="N53" s="33" t="n">
        <v>18.2</v>
      </c>
      <c r="O53" s="33" t="n">
        <v>54.9</v>
      </c>
      <c r="P53" s="33" t="n">
        <f aca="false">0.6*O53</f>
        <v>32.94</v>
      </c>
      <c r="Q53" s="33" t="n">
        <v>0.8</v>
      </c>
      <c r="R53" s="33" t="n">
        <v>8.06</v>
      </c>
      <c r="S53" s="33" t="n">
        <v>18</v>
      </c>
      <c r="T53" s="33" t="n">
        <v>54.9</v>
      </c>
      <c r="U53" s="33" t="n">
        <f aca="false">0.6*T53</f>
        <v>32.94</v>
      </c>
      <c r="V53" s="33" t="n">
        <v>0.02</v>
      </c>
      <c r="W53" s="33" t="n">
        <v>8.06</v>
      </c>
      <c r="X53" s="33" t="n">
        <v>18</v>
      </c>
      <c r="Y53" s="33" t="n">
        <v>54.9</v>
      </c>
      <c r="Z53" s="33" t="n">
        <f aca="false">0.6*Y53</f>
        <v>32.94</v>
      </c>
      <c r="AA53" s="33" t="n">
        <v>0.02</v>
      </c>
      <c r="AB53" s="33" t="n">
        <v>8.01</v>
      </c>
      <c r="AC53" s="33" t="n">
        <v>17.8</v>
      </c>
      <c r="AD53" s="33" t="n">
        <v>54.9</v>
      </c>
      <c r="AE53" s="33" t="n">
        <f aca="false">AD53*0.6</f>
        <v>32.94</v>
      </c>
      <c r="AF53" s="33"/>
      <c r="AG53" s="33" t="n">
        <v>0.01</v>
      </c>
      <c r="AH53" s="33"/>
      <c r="AI53" s="33" t="n">
        <v>8.01</v>
      </c>
      <c r="AJ53" s="33" t="n">
        <v>17.8</v>
      </c>
      <c r="AK53" s="33" t="n">
        <v>54.9</v>
      </c>
      <c r="AL53" s="33" t="n">
        <f aca="false">AK53*0.6</f>
        <v>32.94</v>
      </c>
      <c r="AM53" s="33"/>
      <c r="AN53" s="33" t="n">
        <v>0.01</v>
      </c>
      <c r="AO53" s="2" t="n">
        <v>6.36</v>
      </c>
      <c r="AP53" s="33" t="n">
        <v>18</v>
      </c>
      <c r="AQ53" s="33" t="n">
        <v>223</v>
      </c>
      <c r="AR53" s="33" t="n">
        <f aca="false">AQ53*0.5</f>
        <v>111.5</v>
      </c>
      <c r="AS53" s="33" t="n">
        <v>0</v>
      </c>
      <c r="AT53" s="33" t="n">
        <v>7.03</v>
      </c>
      <c r="AU53" s="33" t="n">
        <v>18.6</v>
      </c>
      <c r="AV53" s="33" t="n">
        <v>300</v>
      </c>
      <c r="AW53" s="33" t="n">
        <f aca="false">AV53*0.5</f>
        <v>150</v>
      </c>
      <c r="AX53" s="36" t="n">
        <v>0.6</v>
      </c>
      <c r="AY53" s="33" t="n">
        <v>0</v>
      </c>
    </row>
    <row r="54" customFormat="false" ht="15" hidden="false" customHeight="false" outlineLevel="0" collapsed="false">
      <c r="A54" s="16" t="n">
        <v>45309</v>
      </c>
      <c r="B54" s="22" t="s">
        <v>52</v>
      </c>
      <c r="C54" s="32" t="n">
        <v>8.07</v>
      </c>
      <c r="D54" s="33" t="n">
        <v>17.9</v>
      </c>
      <c r="E54" s="33" t="n">
        <v>55.1</v>
      </c>
      <c r="F54" s="33" t="n">
        <f aca="false">E54*0.6</f>
        <v>33.06</v>
      </c>
      <c r="G54" s="33" t="n">
        <v>0.23</v>
      </c>
      <c r="H54" s="33" t="n">
        <v>8.06</v>
      </c>
      <c r="I54" s="33" t="n">
        <v>17</v>
      </c>
      <c r="J54" s="33" t="n">
        <v>55.1</v>
      </c>
      <c r="K54" s="33" t="n">
        <f aca="false">J54*0.6</f>
        <v>33.06</v>
      </c>
      <c r="L54" s="33" t="n">
        <v>0.52</v>
      </c>
      <c r="M54" s="33" t="n">
        <v>8.06</v>
      </c>
      <c r="N54" s="33" t="n">
        <v>17</v>
      </c>
      <c r="O54" s="33" t="n">
        <v>55.1</v>
      </c>
      <c r="P54" s="33" t="n">
        <f aca="false">O54*0.6</f>
        <v>33.06</v>
      </c>
      <c r="Q54" s="33" t="n">
        <v>0.52</v>
      </c>
      <c r="R54" s="33" t="n">
        <v>8.03</v>
      </c>
      <c r="S54" s="33" t="n">
        <v>16.9</v>
      </c>
      <c r="T54" s="33" t="n">
        <v>55.1</v>
      </c>
      <c r="U54" s="33" t="n">
        <f aca="false">T54*0.6</f>
        <v>33.06</v>
      </c>
      <c r="V54" s="33" t="n">
        <v>0</v>
      </c>
      <c r="W54" s="33" t="n">
        <v>8.03</v>
      </c>
      <c r="X54" s="33" t="n">
        <v>16.9</v>
      </c>
      <c r="Y54" s="33" t="n">
        <v>55.1</v>
      </c>
      <c r="Z54" s="33" t="n">
        <f aca="false">Y54*0.6</f>
        <v>33.06</v>
      </c>
      <c r="AA54" s="33" t="n">
        <v>0</v>
      </c>
      <c r="AB54" s="33" t="n">
        <v>8.03</v>
      </c>
      <c r="AC54" s="33" t="n">
        <v>17</v>
      </c>
      <c r="AD54" s="33" t="n">
        <v>55.1</v>
      </c>
      <c r="AE54" s="33" t="n">
        <f aca="false">AD54*0.6</f>
        <v>33.06</v>
      </c>
      <c r="AF54" s="33"/>
      <c r="AG54" s="33" t="n">
        <v>0</v>
      </c>
      <c r="AH54" s="33"/>
      <c r="AI54" s="33" t="n">
        <v>8.03</v>
      </c>
      <c r="AJ54" s="33" t="n">
        <v>17</v>
      </c>
      <c r="AK54" s="33" t="n">
        <v>55.1</v>
      </c>
      <c r="AL54" s="33" t="n">
        <f aca="false">0.6*AK54</f>
        <v>33.06</v>
      </c>
      <c r="AM54" s="33"/>
      <c r="AN54" s="33" t="n">
        <v>0</v>
      </c>
      <c r="AO54" s="2" t="n">
        <v>6.25</v>
      </c>
      <c r="AP54" s="33" t="n">
        <v>17.2</v>
      </c>
      <c r="AQ54" s="33" t="n">
        <v>208</v>
      </c>
      <c r="AR54" s="35" t="n">
        <f aca="false">AQ54*0.5</f>
        <v>104</v>
      </c>
      <c r="AS54" s="33" t="n">
        <v>0</v>
      </c>
      <c r="AT54" s="33" t="n">
        <v>6.95</v>
      </c>
      <c r="AU54" s="33" t="n">
        <v>17.4</v>
      </c>
      <c r="AV54" s="33" t="n">
        <v>441</v>
      </c>
      <c r="AW54" s="35" t="n">
        <f aca="false">AV54*0.5</f>
        <v>220.5</v>
      </c>
      <c r="AX54" s="34" t="n">
        <v>0.86</v>
      </c>
      <c r="AY54" s="33" t="n">
        <v>0</v>
      </c>
    </row>
    <row r="55" customFormat="false" ht="15" hidden="false" customHeight="false" outlineLevel="0" collapsed="false">
      <c r="A55" s="16" t="n">
        <v>45309</v>
      </c>
      <c r="B55" s="22" t="s">
        <v>53</v>
      </c>
      <c r="C55" s="32" t="n">
        <v>8.08</v>
      </c>
      <c r="D55" s="33" t="n">
        <v>20.7</v>
      </c>
      <c r="E55" s="33" t="n">
        <v>54.8</v>
      </c>
      <c r="F55" s="33" t="n">
        <f aca="false">E55*0.6</f>
        <v>32.88</v>
      </c>
      <c r="G55" s="33" t="n">
        <v>0.34</v>
      </c>
      <c r="H55" s="33" t="n">
        <v>8.05</v>
      </c>
      <c r="I55" s="33" t="n">
        <v>18.2</v>
      </c>
      <c r="J55" s="33" t="n">
        <v>54.7</v>
      </c>
      <c r="K55" s="33" t="n">
        <f aca="false">0.6*J55</f>
        <v>32.82</v>
      </c>
      <c r="L55" s="33" t="n">
        <v>0.78</v>
      </c>
      <c r="M55" s="33" t="n">
        <v>8.05</v>
      </c>
      <c r="N55" s="33" t="n">
        <v>18.2</v>
      </c>
      <c r="O55" s="33" t="n">
        <v>54.7</v>
      </c>
      <c r="P55" s="33" t="n">
        <f aca="false">0.6*O55</f>
        <v>32.82</v>
      </c>
      <c r="Q55" s="33" t="n">
        <v>0.78</v>
      </c>
      <c r="R55" s="33" t="n">
        <v>8.04</v>
      </c>
      <c r="S55" s="33" t="n">
        <v>20.5</v>
      </c>
      <c r="T55" s="33" t="n">
        <v>54.7</v>
      </c>
      <c r="U55" s="33" t="n">
        <f aca="false">0.6*T55</f>
        <v>32.82</v>
      </c>
      <c r="V55" s="33" t="n">
        <v>0</v>
      </c>
      <c r="W55" s="33" t="n">
        <v>8.04</v>
      </c>
      <c r="X55" s="33" t="n">
        <v>20.5</v>
      </c>
      <c r="Y55" s="33" t="n">
        <v>54.7</v>
      </c>
      <c r="Z55" s="33" t="n">
        <f aca="false">0.6*Y55</f>
        <v>32.82</v>
      </c>
      <c r="AA55" s="33" t="n">
        <v>0</v>
      </c>
      <c r="AB55" s="33" t="n">
        <v>8.02</v>
      </c>
      <c r="AC55" s="33" t="n">
        <v>20.1</v>
      </c>
      <c r="AD55" s="33" t="n">
        <v>54.7</v>
      </c>
      <c r="AE55" s="33" t="n">
        <f aca="false">AD55*0.6</f>
        <v>32.82</v>
      </c>
      <c r="AF55" s="33"/>
      <c r="AG55" s="33" t="n">
        <v>0</v>
      </c>
      <c r="AH55" s="33"/>
      <c r="AI55" s="33" t="n">
        <v>8.02</v>
      </c>
      <c r="AJ55" s="33" t="n">
        <v>20.1</v>
      </c>
      <c r="AK55" s="33" t="n">
        <v>54.7</v>
      </c>
      <c r="AL55" s="33" t="n">
        <f aca="false">AK55*0.6</f>
        <v>32.82</v>
      </c>
      <c r="AM55" s="33"/>
      <c r="AN55" s="33" t="n">
        <v>0</v>
      </c>
      <c r="AO55" s="2" t="n">
        <v>5.93</v>
      </c>
      <c r="AP55" s="33" t="n">
        <v>17.7</v>
      </c>
      <c r="AQ55" s="33" t="n">
        <v>202</v>
      </c>
      <c r="AR55" s="35" t="n">
        <f aca="false">AQ55*0.5</f>
        <v>101</v>
      </c>
      <c r="AS55" s="33" t="n">
        <v>0</v>
      </c>
      <c r="AT55" s="33" t="n">
        <v>6.84</v>
      </c>
      <c r="AU55" s="33" t="n">
        <v>17.8</v>
      </c>
      <c r="AV55" s="33" t="n">
        <v>264</v>
      </c>
      <c r="AW55" s="35" t="n">
        <f aca="false">AV55*0.5</f>
        <v>132</v>
      </c>
      <c r="AX55" s="34" t="n">
        <v>0.7</v>
      </c>
      <c r="AY55" s="33" t="n">
        <v>0</v>
      </c>
    </row>
    <row r="56" customFormat="false" ht="15" hidden="false" customHeight="false" outlineLevel="0" collapsed="false">
      <c r="A56" s="16" t="n">
        <v>45310</v>
      </c>
      <c r="B56" s="17" t="s">
        <v>51</v>
      </c>
      <c r="C56" s="29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</row>
    <row r="57" customFormat="false" ht="15" hidden="false" customHeight="false" outlineLevel="0" collapsed="false">
      <c r="A57" s="16" t="n">
        <v>45310</v>
      </c>
      <c r="B57" s="22" t="s">
        <v>52</v>
      </c>
      <c r="C57" s="29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</row>
    <row r="58" customFormat="false" ht="15" hidden="false" customHeight="false" outlineLevel="0" collapsed="false">
      <c r="A58" s="16" t="n">
        <v>45310</v>
      </c>
      <c r="B58" s="22" t="s">
        <v>53</v>
      </c>
      <c r="C58" s="29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</row>
    <row r="59" customFormat="false" ht="15" hidden="false" customHeight="false" outlineLevel="0" collapsed="false">
      <c r="A59" s="16" t="n">
        <v>45311</v>
      </c>
      <c r="B59" s="17" t="s">
        <v>51</v>
      </c>
      <c r="C59" s="32" t="n">
        <v>8.09</v>
      </c>
      <c r="D59" s="33" t="n">
        <v>17.6</v>
      </c>
      <c r="E59" s="33" t="n">
        <v>55.2</v>
      </c>
      <c r="F59" s="33" t="n">
        <f aca="false">E59*0.6</f>
        <v>33.12</v>
      </c>
      <c r="G59" s="33" t="n">
        <v>0.19</v>
      </c>
      <c r="H59" s="33" t="n">
        <v>8.08</v>
      </c>
      <c r="I59" s="33" t="n">
        <v>17.6</v>
      </c>
      <c r="J59" s="33" t="n">
        <v>55.1</v>
      </c>
      <c r="K59" s="33" t="n">
        <f aca="false">0.6*J59</f>
        <v>33.06</v>
      </c>
      <c r="L59" s="33" t="n">
        <v>0.59</v>
      </c>
      <c r="M59" s="33" t="n">
        <v>8.08</v>
      </c>
      <c r="N59" s="33" t="n">
        <v>17.6</v>
      </c>
      <c r="O59" s="33" t="n">
        <v>55.1</v>
      </c>
      <c r="P59" s="33" t="n">
        <f aca="false">0.6*O59</f>
        <v>33.06</v>
      </c>
      <c r="Q59" s="33" t="n">
        <v>0.59</v>
      </c>
      <c r="R59" s="33" t="n">
        <v>8.06</v>
      </c>
      <c r="S59" s="33" t="n">
        <v>17.3</v>
      </c>
      <c r="T59" s="33" t="n">
        <v>54.9</v>
      </c>
      <c r="U59" s="33" t="n">
        <f aca="false">0.6*T59</f>
        <v>32.94</v>
      </c>
      <c r="V59" s="33" t="n">
        <v>0</v>
      </c>
      <c r="W59" s="33" t="n">
        <v>8.06</v>
      </c>
      <c r="X59" s="33" t="n">
        <v>17.3</v>
      </c>
      <c r="Y59" s="33" t="n">
        <v>54.9</v>
      </c>
      <c r="Z59" s="33" t="n">
        <f aca="false">0.6*Y59</f>
        <v>32.94</v>
      </c>
      <c r="AA59" s="33" t="n">
        <v>0</v>
      </c>
      <c r="AB59" s="33" t="n">
        <v>8.01</v>
      </c>
      <c r="AC59" s="33" t="n">
        <v>17.1</v>
      </c>
      <c r="AD59" s="33" t="n">
        <v>54.9</v>
      </c>
      <c r="AE59" s="33" t="n">
        <f aca="false">AD59*0.6</f>
        <v>32.94</v>
      </c>
      <c r="AF59" s="33"/>
      <c r="AG59" s="33" t="n">
        <v>0</v>
      </c>
      <c r="AH59" s="33"/>
      <c r="AI59" s="33" t="n">
        <v>8.01</v>
      </c>
      <c r="AJ59" s="33" t="n">
        <v>17.1</v>
      </c>
      <c r="AK59" s="33" t="n">
        <v>54.9</v>
      </c>
      <c r="AL59" s="33" t="n">
        <f aca="false">AK59*0.6</f>
        <v>32.94</v>
      </c>
      <c r="AM59" s="33"/>
      <c r="AN59" s="33" t="n">
        <v>0</v>
      </c>
      <c r="AO59" s="2" t="n">
        <v>6.36</v>
      </c>
      <c r="AP59" s="33" t="n">
        <v>17.1</v>
      </c>
      <c r="AQ59" s="33" t="n">
        <v>223</v>
      </c>
      <c r="AR59" s="33" t="n">
        <f aca="false">AQ59*0.5</f>
        <v>111.5</v>
      </c>
      <c r="AS59" s="33" t="n">
        <v>0</v>
      </c>
      <c r="AT59" s="33" t="n">
        <v>7.03</v>
      </c>
      <c r="AU59" s="33" t="n">
        <v>18.6</v>
      </c>
      <c r="AV59" s="33" t="n">
        <v>276</v>
      </c>
      <c r="AW59" s="33" t="n">
        <f aca="false">AV59*0.5</f>
        <v>138</v>
      </c>
      <c r="AX59" s="36"/>
      <c r="AY59" s="33" t="n">
        <v>0</v>
      </c>
    </row>
    <row r="60" customFormat="false" ht="15" hidden="false" customHeight="false" outlineLevel="0" collapsed="false">
      <c r="A60" s="16" t="n">
        <v>45311</v>
      </c>
      <c r="B60" s="22" t="s">
        <v>52</v>
      </c>
      <c r="C60" s="32" t="n">
        <v>8.03</v>
      </c>
      <c r="D60" s="33" t="n">
        <v>17</v>
      </c>
      <c r="E60" s="33" t="n">
        <v>54.2</v>
      </c>
      <c r="F60" s="33" t="n">
        <f aca="false">E60*0.6</f>
        <v>32.52</v>
      </c>
      <c r="G60" s="33" t="n">
        <v>0.54</v>
      </c>
      <c r="H60" s="33" t="n">
        <v>8.02</v>
      </c>
      <c r="I60" s="33" t="n">
        <v>17.2</v>
      </c>
      <c r="J60" s="33" t="n">
        <v>54.2</v>
      </c>
      <c r="K60" s="33" t="n">
        <f aca="false">J60*0.6</f>
        <v>32.52</v>
      </c>
      <c r="L60" s="33" t="n">
        <v>0.54</v>
      </c>
      <c r="M60" s="33" t="n">
        <v>8.02</v>
      </c>
      <c r="N60" s="33" t="n">
        <v>17.2</v>
      </c>
      <c r="O60" s="33" t="n">
        <v>54.2</v>
      </c>
      <c r="P60" s="33" t="n">
        <f aca="false">O60*0.6</f>
        <v>32.52</v>
      </c>
      <c r="Q60" s="33" t="n">
        <v>0.54</v>
      </c>
      <c r="R60" s="33" t="n">
        <v>8</v>
      </c>
      <c r="S60" s="33" t="n">
        <v>17.1</v>
      </c>
      <c r="T60" s="33" t="n">
        <v>54.1</v>
      </c>
      <c r="U60" s="33" t="n">
        <f aca="false">T60*0.6</f>
        <v>32.46</v>
      </c>
      <c r="V60" s="33" t="n">
        <v>0</v>
      </c>
      <c r="W60" s="33" t="n">
        <v>8</v>
      </c>
      <c r="X60" s="33" t="n">
        <v>17.1</v>
      </c>
      <c r="Y60" s="33" t="n">
        <v>54.1</v>
      </c>
      <c r="Z60" s="33" t="n">
        <f aca="false">Y60*0.6</f>
        <v>32.46</v>
      </c>
      <c r="AA60" s="33" t="n">
        <v>0</v>
      </c>
      <c r="AB60" s="33" t="n">
        <v>7.99</v>
      </c>
      <c r="AC60" s="33" t="n">
        <v>17</v>
      </c>
      <c r="AD60" s="33" t="n">
        <v>54.1</v>
      </c>
      <c r="AE60" s="33" t="n">
        <f aca="false">AD60*0.6</f>
        <v>32.46</v>
      </c>
      <c r="AF60" s="33"/>
      <c r="AG60" s="33" t="n">
        <v>0</v>
      </c>
      <c r="AH60" s="33"/>
      <c r="AI60" s="33" t="n">
        <v>7.99</v>
      </c>
      <c r="AJ60" s="33" t="n">
        <v>17</v>
      </c>
      <c r="AK60" s="33" t="n">
        <v>54.1</v>
      </c>
      <c r="AL60" s="33" t="n">
        <f aca="false">0.6*AK60</f>
        <v>32.46</v>
      </c>
      <c r="AM60" s="33"/>
      <c r="AN60" s="33" t="n">
        <v>0</v>
      </c>
      <c r="AO60" s="2" t="n">
        <v>6.09</v>
      </c>
      <c r="AP60" s="33" t="n">
        <v>17.1</v>
      </c>
      <c r="AQ60" s="33" t="n">
        <v>193</v>
      </c>
      <c r="AR60" s="35" t="n">
        <f aca="false">AQ60*0.5</f>
        <v>96.5</v>
      </c>
      <c r="AS60" s="33" t="n">
        <v>0</v>
      </c>
      <c r="AT60" s="33" t="n">
        <v>7.08</v>
      </c>
      <c r="AU60" s="33" t="n">
        <v>17.1</v>
      </c>
      <c r="AV60" s="33" t="n">
        <v>516</v>
      </c>
      <c r="AW60" s="35" t="n">
        <f aca="false">AV60*0.5</f>
        <v>258</v>
      </c>
      <c r="AX60" s="34"/>
      <c r="AY60" s="33" t="n">
        <v>0</v>
      </c>
    </row>
    <row r="61" customFormat="false" ht="15" hidden="false" customHeight="false" outlineLevel="0" collapsed="false">
      <c r="A61" s="16" t="n">
        <v>45311</v>
      </c>
      <c r="B61" s="22" t="s">
        <v>53</v>
      </c>
      <c r="C61" s="32" t="n">
        <v>8.09</v>
      </c>
      <c r="D61" s="33" t="n">
        <v>17.7</v>
      </c>
      <c r="E61" s="33" t="n">
        <v>54.9</v>
      </c>
      <c r="F61" s="33" t="n">
        <f aca="false">E61*0.6</f>
        <v>32.94</v>
      </c>
      <c r="G61" s="33" t="n">
        <v>0.3</v>
      </c>
      <c r="H61" s="33" t="n">
        <v>8.09</v>
      </c>
      <c r="I61" s="33" t="n">
        <v>17.7</v>
      </c>
      <c r="J61" s="33" t="n">
        <v>54.9</v>
      </c>
      <c r="K61" s="33" t="n">
        <f aca="false">J61*0.6</f>
        <v>32.94</v>
      </c>
      <c r="L61" s="33" t="n">
        <v>0.47</v>
      </c>
      <c r="M61" s="33" t="n">
        <v>8.09</v>
      </c>
      <c r="N61" s="33" t="n">
        <v>17.7</v>
      </c>
      <c r="O61" s="33" t="n">
        <v>54.9</v>
      </c>
      <c r="P61" s="33" t="n">
        <f aca="false">O61*0.6</f>
        <v>32.94</v>
      </c>
      <c r="Q61" s="33" t="n">
        <v>0.47</v>
      </c>
      <c r="R61" s="33" t="n">
        <v>8.07</v>
      </c>
      <c r="S61" s="33" t="n">
        <v>17.1</v>
      </c>
      <c r="T61" s="33" t="n">
        <v>54.1</v>
      </c>
      <c r="U61" s="33" t="n">
        <f aca="false">T61*0.6</f>
        <v>32.46</v>
      </c>
      <c r="V61" s="33" t="n">
        <v>0</v>
      </c>
      <c r="W61" s="33" t="n">
        <v>8.07</v>
      </c>
      <c r="X61" s="33" t="n">
        <v>17.1</v>
      </c>
      <c r="Y61" s="33" t="n">
        <v>54.1</v>
      </c>
      <c r="Z61" s="33" t="n">
        <f aca="false">Y61*0.6</f>
        <v>32.46</v>
      </c>
      <c r="AA61" s="33" t="n">
        <v>0</v>
      </c>
      <c r="AB61" s="33" t="n">
        <v>8.05</v>
      </c>
      <c r="AC61" s="33" t="n">
        <v>17</v>
      </c>
      <c r="AD61" s="33" t="n">
        <v>54.7</v>
      </c>
      <c r="AE61" s="33" t="n">
        <f aca="false">AD61*0.6</f>
        <v>32.82</v>
      </c>
      <c r="AF61" s="33"/>
      <c r="AG61" s="33" t="n">
        <v>0</v>
      </c>
      <c r="AH61" s="33"/>
      <c r="AI61" s="33" t="n">
        <v>8.05</v>
      </c>
      <c r="AJ61" s="33" t="n">
        <v>17</v>
      </c>
      <c r="AK61" s="33" t="n">
        <v>54.7</v>
      </c>
      <c r="AL61" s="33" t="n">
        <f aca="false">AK61*0.6</f>
        <v>32.82</v>
      </c>
      <c r="AM61" s="33"/>
      <c r="AN61" s="33" t="n">
        <v>0</v>
      </c>
      <c r="AO61" s="2" t="n">
        <v>6.08</v>
      </c>
      <c r="AP61" s="33" t="n">
        <v>17.5</v>
      </c>
      <c r="AQ61" s="33" t="n">
        <v>199</v>
      </c>
      <c r="AR61" s="35" t="n">
        <f aca="false">AQ61*0.5</f>
        <v>99.5</v>
      </c>
      <c r="AS61" s="33" t="n">
        <v>0</v>
      </c>
      <c r="AT61" s="33" t="n">
        <v>7.09</v>
      </c>
      <c r="AU61" s="33" t="n">
        <v>18</v>
      </c>
      <c r="AV61" s="33" t="n">
        <v>467</v>
      </c>
      <c r="AW61" s="35" t="n">
        <f aca="false">AV61*0.5</f>
        <v>233.5</v>
      </c>
      <c r="AX61" s="34" t="n">
        <v>0.92</v>
      </c>
      <c r="AY61" s="33" t="n">
        <v>0</v>
      </c>
    </row>
    <row r="62" customFormat="false" ht="15" hidden="false" customHeight="false" outlineLevel="0" collapsed="false">
      <c r="A62" s="16" t="n">
        <v>45312</v>
      </c>
      <c r="B62" s="17" t="s">
        <v>51</v>
      </c>
      <c r="C62" s="32" t="n">
        <v>8.09</v>
      </c>
      <c r="D62" s="33" t="n">
        <v>16.7</v>
      </c>
      <c r="E62" s="33" t="n">
        <v>55.1</v>
      </c>
      <c r="F62" s="33" t="n">
        <f aca="false">E62*0.6</f>
        <v>33.06</v>
      </c>
      <c r="G62" s="33" t="n">
        <v>0.97</v>
      </c>
      <c r="H62" s="33" t="n">
        <v>8.08</v>
      </c>
      <c r="I62" s="33" t="n">
        <v>16.6</v>
      </c>
      <c r="J62" s="33" t="n">
        <v>55.1</v>
      </c>
      <c r="K62" s="33" t="n">
        <f aca="false">0.6*J62</f>
        <v>33.06</v>
      </c>
      <c r="L62" s="33" t="n">
        <v>1.45</v>
      </c>
      <c r="M62" s="33" t="n">
        <v>8.08</v>
      </c>
      <c r="N62" s="33" t="n">
        <v>16.6</v>
      </c>
      <c r="O62" s="33" t="n">
        <v>55.1</v>
      </c>
      <c r="P62" s="33" t="n">
        <f aca="false">0.6*O62</f>
        <v>33.06</v>
      </c>
      <c r="Q62" s="33" t="n">
        <v>1.45</v>
      </c>
      <c r="R62" s="33" t="n">
        <v>8.02</v>
      </c>
      <c r="S62" s="33" t="n">
        <v>16.9</v>
      </c>
      <c r="T62" s="33" t="n">
        <v>54.9</v>
      </c>
      <c r="U62" s="33" t="n">
        <f aca="false">0.6*T62</f>
        <v>32.94</v>
      </c>
      <c r="V62" s="33" t="n">
        <v>0</v>
      </c>
      <c r="W62" s="33" t="n">
        <v>8.02</v>
      </c>
      <c r="X62" s="33" t="n">
        <v>16.9</v>
      </c>
      <c r="Y62" s="33" t="n">
        <v>54.9</v>
      </c>
      <c r="Z62" s="33" t="n">
        <f aca="false">0.6*Y62</f>
        <v>32.94</v>
      </c>
      <c r="AA62" s="33" t="n">
        <v>0</v>
      </c>
      <c r="AB62" s="33" t="n">
        <v>8.02</v>
      </c>
      <c r="AC62" s="33" t="n">
        <v>16.9</v>
      </c>
      <c r="AD62" s="33" t="n">
        <v>54.9</v>
      </c>
      <c r="AE62" s="33" t="n">
        <f aca="false">0.6*AD62</f>
        <v>32.94</v>
      </c>
      <c r="AF62" s="33"/>
      <c r="AG62" s="33" t="n">
        <v>0</v>
      </c>
      <c r="AH62" s="33"/>
      <c r="AI62" s="33" t="n">
        <v>8.02</v>
      </c>
      <c r="AJ62" s="33" t="n">
        <v>16.9</v>
      </c>
      <c r="AK62" s="33" t="n">
        <v>54.9</v>
      </c>
      <c r="AL62" s="33" t="n">
        <f aca="false">0.6*AK62</f>
        <v>32.94</v>
      </c>
      <c r="AM62" s="33"/>
      <c r="AN62" s="33" t="n">
        <v>0</v>
      </c>
      <c r="AO62" s="2" t="n">
        <v>6.35</v>
      </c>
      <c r="AP62" s="33" t="n">
        <v>16.6</v>
      </c>
      <c r="AQ62" s="33" t="n">
        <v>222</v>
      </c>
      <c r="AR62" s="33" t="n">
        <f aca="false">AQ62*0.5</f>
        <v>111</v>
      </c>
      <c r="AS62" s="33" t="n">
        <v>0</v>
      </c>
      <c r="AT62" s="33" t="n">
        <v>6.86</v>
      </c>
      <c r="AU62" s="33" t="n">
        <v>17.1</v>
      </c>
      <c r="AV62" s="33" t="n">
        <v>264</v>
      </c>
      <c r="AW62" s="33" t="n">
        <f aca="false">AV62*0.5</f>
        <v>132</v>
      </c>
      <c r="AX62" s="34" t="n">
        <v>0.84</v>
      </c>
      <c r="AY62" s="33" t="n">
        <v>0</v>
      </c>
    </row>
    <row r="63" customFormat="false" ht="15" hidden="false" customHeight="false" outlineLevel="0" collapsed="false">
      <c r="A63" s="16" t="n">
        <v>45312</v>
      </c>
      <c r="B63" s="22" t="s">
        <v>52</v>
      </c>
      <c r="C63" s="32" t="n">
        <v>8.07</v>
      </c>
      <c r="D63" s="33" t="n">
        <v>16.7</v>
      </c>
      <c r="E63" s="33" t="n">
        <v>55.1</v>
      </c>
      <c r="F63" s="33" t="n">
        <f aca="false">E63*0.6</f>
        <v>33.06</v>
      </c>
      <c r="G63" s="33" t="n">
        <v>0.41</v>
      </c>
      <c r="H63" s="33" t="n">
        <v>8.04</v>
      </c>
      <c r="I63" s="33" t="n">
        <v>16.3</v>
      </c>
      <c r="J63" s="33" t="n">
        <v>55.2</v>
      </c>
      <c r="K63" s="33" t="n">
        <f aca="false">J63*0.6</f>
        <v>33.12</v>
      </c>
      <c r="L63" s="33" t="n">
        <v>1.05</v>
      </c>
      <c r="M63" s="33" t="n">
        <v>8.04</v>
      </c>
      <c r="N63" s="33" t="n">
        <v>16.3</v>
      </c>
      <c r="O63" s="33" t="n">
        <v>55.2</v>
      </c>
      <c r="P63" s="33" t="n">
        <f aca="false">O63*0.6</f>
        <v>33.12</v>
      </c>
      <c r="Q63" s="33" t="n">
        <v>1.05</v>
      </c>
      <c r="R63" s="33" t="n">
        <v>8.04</v>
      </c>
      <c r="S63" s="33" t="n">
        <v>16.2</v>
      </c>
      <c r="T63" s="33" t="n">
        <v>55.2</v>
      </c>
      <c r="U63" s="33" t="n">
        <f aca="false">T63*0.6</f>
        <v>33.12</v>
      </c>
      <c r="V63" s="33" t="n">
        <v>0</v>
      </c>
      <c r="W63" s="33" t="n">
        <v>8.04</v>
      </c>
      <c r="X63" s="33" t="n">
        <v>16.3</v>
      </c>
      <c r="Y63" s="33" t="n">
        <v>55.2</v>
      </c>
      <c r="Z63" s="33" t="n">
        <f aca="false">Y63*0.6</f>
        <v>33.12</v>
      </c>
      <c r="AA63" s="33" t="n">
        <v>0</v>
      </c>
      <c r="AB63" s="33" t="n">
        <v>8.04</v>
      </c>
      <c r="AC63" s="33" t="n">
        <v>16.4</v>
      </c>
      <c r="AD63" s="33" t="n">
        <v>55.2</v>
      </c>
      <c r="AE63" s="33" t="n">
        <f aca="false">AD63*0.6</f>
        <v>33.12</v>
      </c>
      <c r="AF63" s="33"/>
      <c r="AG63" s="33" t="n">
        <v>0</v>
      </c>
      <c r="AH63" s="33"/>
      <c r="AI63" s="33" t="n">
        <v>8.04</v>
      </c>
      <c r="AJ63" s="33" t="n">
        <v>16.4</v>
      </c>
      <c r="AK63" s="33" t="n">
        <v>55.2</v>
      </c>
      <c r="AL63" s="33" t="n">
        <f aca="false">0.6*AK63</f>
        <v>33.12</v>
      </c>
      <c r="AM63" s="33"/>
      <c r="AN63" s="33" t="n">
        <v>0</v>
      </c>
      <c r="AO63" s="2" t="n">
        <v>6.31</v>
      </c>
      <c r="AP63" s="33" t="n">
        <v>16.7</v>
      </c>
      <c r="AQ63" s="33" t="n">
        <v>230</v>
      </c>
      <c r="AR63" s="35" t="n">
        <f aca="false">AQ63*0.5</f>
        <v>115</v>
      </c>
      <c r="AS63" s="33" t="n">
        <v>0</v>
      </c>
      <c r="AT63" s="33" t="n">
        <v>6.83</v>
      </c>
      <c r="AU63" s="33" t="n">
        <v>17.1</v>
      </c>
      <c r="AV63" s="33" t="n">
        <v>264</v>
      </c>
      <c r="AW63" s="35" t="n">
        <f aca="false">AV63*0.5</f>
        <v>132</v>
      </c>
      <c r="AX63" s="34"/>
      <c r="AY63" s="33" t="n">
        <v>0</v>
      </c>
    </row>
    <row r="64" customFormat="false" ht="15" hidden="false" customHeight="false" outlineLevel="0" collapsed="false">
      <c r="A64" s="16" t="n">
        <v>45312</v>
      </c>
      <c r="B64" s="22" t="s">
        <v>53</v>
      </c>
      <c r="C64" s="32" t="n">
        <v>8.07</v>
      </c>
      <c r="D64" s="33" t="n">
        <v>17.3</v>
      </c>
      <c r="E64" s="33" t="n">
        <v>55.1</v>
      </c>
      <c r="F64" s="33" t="n">
        <f aca="false">E64*0.6</f>
        <v>33.06</v>
      </c>
      <c r="G64" s="33" t="n">
        <v>0.38</v>
      </c>
      <c r="H64" s="33" t="n">
        <v>8.04</v>
      </c>
      <c r="I64" s="33" t="n">
        <v>17</v>
      </c>
      <c r="J64" s="33" t="n">
        <v>55.1</v>
      </c>
      <c r="K64" s="33" t="n">
        <f aca="false">J64*0.6</f>
        <v>33.06</v>
      </c>
      <c r="L64" s="33" t="n">
        <v>0.99</v>
      </c>
      <c r="M64" s="33" t="n">
        <v>8.04</v>
      </c>
      <c r="N64" s="33" t="n">
        <v>17</v>
      </c>
      <c r="O64" s="33" t="n">
        <v>55.1</v>
      </c>
      <c r="P64" s="33" t="n">
        <f aca="false">O64*0.6</f>
        <v>33.06</v>
      </c>
      <c r="Q64" s="33" t="n">
        <v>0.99</v>
      </c>
      <c r="R64" s="33" t="n">
        <v>8.02</v>
      </c>
      <c r="S64" s="33" t="n">
        <v>16.9</v>
      </c>
      <c r="T64" s="33" t="n">
        <v>49.9</v>
      </c>
      <c r="U64" s="33" t="n">
        <f aca="false">T64*0.6</f>
        <v>29.94</v>
      </c>
      <c r="V64" s="33" t="n">
        <v>0</v>
      </c>
      <c r="W64" s="33" t="n">
        <v>8.02</v>
      </c>
      <c r="X64" s="33" t="n">
        <v>16.9</v>
      </c>
      <c r="Y64" s="33" t="n">
        <v>49.9</v>
      </c>
      <c r="Z64" s="33" t="n">
        <f aca="false">Y64*0.6</f>
        <v>29.94</v>
      </c>
      <c r="AA64" s="33" t="n">
        <v>0</v>
      </c>
      <c r="AB64" s="33" t="n">
        <v>8</v>
      </c>
      <c r="AC64" s="33" t="n">
        <v>16.4</v>
      </c>
      <c r="AD64" s="33" t="n">
        <v>49.9</v>
      </c>
      <c r="AE64" s="33" t="n">
        <f aca="false">AD64*0.6</f>
        <v>29.94</v>
      </c>
      <c r="AF64" s="33"/>
      <c r="AG64" s="33" t="n">
        <v>0</v>
      </c>
      <c r="AH64" s="33"/>
      <c r="AI64" s="33" t="n">
        <v>8</v>
      </c>
      <c r="AJ64" s="33" t="n">
        <v>16.4</v>
      </c>
      <c r="AK64" s="33" t="n">
        <v>49.9</v>
      </c>
      <c r="AL64" s="33" t="n">
        <f aca="false">AK64*0.6</f>
        <v>29.94</v>
      </c>
      <c r="AM64" s="33"/>
      <c r="AN64" s="33" t="n">
        <v>0</v>
      </c>
      <c r="AO64" s="2" t="n">
        <v>6.25</v>
      </c>
      <c r="AP64" s="33" t="n">
        <v>16.9</v>
      </c>
      <c r="AQ64" s="33" t="n">
        <v>199</v>
      </c>
      <c r="AR64" s="35" t="n">
        <f aca="false">AQ64*0.5</f>
        <v>99.5</v>
      </c>
      <c r="AS64" s="33" t="n">
        <v>0</v>
      </c>
      <c r="AT64" s="33" t="n">
        <v>6.77</v>
      </c>
      <c r="AU64" s="33" t="n">
        <v>17.2</v>
      </c>
      <c r="AV64" s="33" t="n">
        <v>267</v>
      </c>
      <c r="AW64" s="35" t="n">
        <f aca="false">AV64*0.5</f>
        <v>133.5</v>
      </c>
      <c r="AX64" s="34" t="n">
        <v>0.99</v>
      </c>
      <c r="AY64" s="33" t="n">
        <v>0</v>
      </c>
    </row>
    <row r="65" customFormat="false" ht="15" hidden="false" customHeight="false" outlineLevel="0" collapsed="false">
      <c r="A65" s="16" t="n">
        <v>45313</v>
      </c>
      <c r="B65" s="17" t="s">
        <v>51</v>
      </c>
      <c r="C65" s="32" t="n">
        <v>8.1</v>
      </c>
      <c r="D65" s="23" t="n">
        <v>15.4</v>
      </c>
      <c r="E65" s="33" t="n">
        <v>55.1</v>
      </c>
      <c r="F65" s="33" t="n">
        <f aca="false">E65*0.6</f>
        <v>33.06</v>
      </c>
      <c r="G65" s="33" t="n">
        <v>0.64</v>
      </c>
      <c r="H65" s="33" t="n">
        <v>8.09</v>
      </c>
      <c r="I65" s="23" t="n">
        <v>15.4</v>
      </c>
      <c r="J65" s="33" t="n">
        <v>55.1</v>
      </c>
      <c r="K65" s="33" t="n">
        <f aca="false">0.6*J65</f>
        <v>33.06</v>
      </c>
      <c r="L65" s="33" t="n">
        <v>0.77</v>
      </c>
      <c r="M65" s="33" t="n">
        <v>8.09</v>
      </c>
      <c r="N65" s="23" t="n">
        <v>15.4</v>
      </c>
      <c r="O65" s="33" t="n">
        <v>55.1</v>
      </c>
      <c r="P65" s="33" t="n">
        <f aca="false">0.6*O65</f>
        <v>33.06</v>
      </c>
      <c r="Q65" s="33" t="n">
        <v>0.77</v>
      </c>
      <c r="R65" s="33" t="n">
        <v>8.05</v>
      </c>
      <c r="S65" s="23" t="n">
        <v>15.9</v>
      </c>
      <c r="T65" s="33" t="n">
        <v>55.1</v>
      </c>
      <c r="U65" s="33" t="n">
        <f aca="false">0.6*T65</f>
        <v>33.06</v>
      </c>
      <c r="V65" s="33" t="n">
        <v>0</v>
      </c>
      <c r="W65" s="33" t="n">
        <v>8.05</v>
      </c>
      <c r="X65" s="23" t="n">
        <v>16</v>
      </c>
      <c r="Y65" s="33" t="n">
        <v>55.1</v>
      </c>
      <c r="Z65" s="33" t="n">
        <f aca="false">0.6*Y65</f>
        <v>33.06</v>
      </c>
      <c r="AA65" s="33" t="n">
        <v>0</v>
      </c>
      <c r="AB65" s="33" t="n">
        <v>8.02</v>
      </c>
      <c r="AC65" s="23" t="n">
        <v>16.1</v>
      </c>
      <c r="AD65" s="33" t="n">
        <v>55.1</v>
      </c>
      <c r="AE65" s="33" t="n">
        <f aca="false">0.6*AD65</f>
        <v>33.06</v>
      </c>
      <c r="AF65" s="33"/>
      <c r="AG65" s="33" t="n">
        <v>0</v>
      </c>
      <c r="AH65" s="33"/>
      <c r="AI65" s="33" t="n">
        <v>8.02</v>
      </c>
      <c r="AJ65" s="23" t="n">
        <v>16.1</v>
      </c>
      <c r="AK65" s="33" t="n">
        <v>55.1</v>
      </c>
      <c r="AL65" s="33" t="n">
        <f aca="false">0.6*AK65</f>
        <v>33.06</v>
      </c>
      <c r="AM65" s="33"/>
      <c r="AN65" s="33" t="n">
        <v>0</v>
      </c>
      <c r="AO65" s="2" t="n">
        <v>6.42</v>
      </c>
      <c r="AP65" s="23" t="n">
        <v>16.7</v>
      </c>
      <c r="AQ65" s="33" t="n">
        <v>203</v>
      </c>
      <c r="AR65" s="33" t="n">
        <f aca="false">AQ65*0.5</f>
        <v>101.5</v>
      </c>
      <c r="AS65" s="33" t="n">
        <v>0</v>
      </c>
      <c r="AT65" s="33" t="n">
        <v>6.76</v>
      </c>
      <c r="AU65" s="23" t="n">
        <v>16.9</v>
      </c>
      <c r="AV65" s="33" t="n">
        <v>277</v>
      </c>
      <c r="AW65" s="33" t="n">
        <f aca="false">AV65*0.5</f>
        <v>138.5</v>
      </c>
      <c r="AX65" s="34" t="n">
        <v>0.86</v>
      </c>
      <c r="AY65" s="33" t="n">
        <v>0</v>
      </c>
    </row>
    <row r="66" customFormat="false" ht="15" hidden="false" customHeight="false" outlineLevel="0" collapsed="false">
      <c r="A66" s="16" t="n">
        <v>45313</v>
      </c>
      <c r="B66" s="22" t="s">
        <v>52</v>
      </c>
      <c r="C66" s="32" t="n">
        <v>8.07</v>
      </c>
      <c r="D66" s="33" t="n">
        <v>16.6</v>
      </c>
      <c r="E66" s="33" t="n">
        <v>55.1</v>
      </c>
      <c r="F66" s="33" t="n">
        <f aca="false">E66*0.6</f>
        <v>33.06</v>
      </c>
      <c r="G66" s="33" t="n">
        <v>0.97</v>
      </c>
      <c r="H66" s="33" t="n">
        <v>8.05</v>
      </c>
      <c r="I66" s="33" t="n">
        <v>16.8</v>
      </c>
      <c r="J66" s="33" t="n">
        <v>55.1</v>
      </c>
      <c r="K66" s="33" t="n">
        <f aca="false">J66*0.6</f>
        <v>33.06</v>
      </c>
      <c r="L66" s="33" t="n">
        <v>0.79</v>
      </c>
      <c r="M66" s="33" t="n">
        <v>8.05</v>
      </c>
      <c r="N66" s="33" t="n">
        <v>16.8</v>
      </c>
      <c r="O66" s="33" t="n">
        <v>55.1</v>
      </c>
      <c r="P66" s="33" t="n">
        <f aca="false">O66*0.6</f>
        <v>33.06</v>
      </c>
      <c r="Q66" s="33" t="n">
        <v>0.79</v>
      </c>
      <c r="R66" s="33" t="n">
        <v>8.03</v>
      </c>
      <c r="S66" s="33" t="n">
        <v>17</v>
      </c>
      <c r="T66" s="33" t="n">
        <v>54.9</v>
      </c>
      <c r="U66" s="33" t="n">
        <f aca="false">T66*0.6</f>
        <v>32.94</v>
      </c>
      <c r="V66" s="33" t="n">
        <v>0</v>
      </c>
      <c r="W66" s="33" t="n">
        <v>8.03</v>
      </c>
      <c r="X66" s="33" t="n">
        <v>17</v>
      </c>
      <c r="Y66" s="33" t="n">
        <v>54.9</v>
      </c>
      <c r="Z66" s="33" t="n">
        <f aca="false">Y66*0.6</f>
        <v>32.94</v>
      </c>
      <c r="AA66" s="33" t="n">
        <v>0</v>
      </c>
      <c r="AB66" s="33" t="n">
        <v>8</v>
      </c>
      <c r="AC66" s="33" t="n">
        <v>17.2</v>
      </c>
      <c r="AD66" s="33" t="n">
        <v>54.9</v>
      </c>
      <c r="AE66" s="33" t="n">
        <f aca="false">AD66*0.6</f>
        <v>32.94</v>
      </c>
      <c r="AF66" s="33"/>
      <c r="AG66" s="33" t="n">
        <v>0</v>
      </c>
      <c r="AH66" s="33"/>
      <c r="AI66" s="33" t="n">
        <v>8</v>
      </c>
      <c r="AJ66" s="33" t="n">
        <v>17.2</v>
      </c>
      <c r="AK66" s="33" t="n">
        <v>54.9</v>
      </c>
      <c r="AL66" s="33" t="n">
        <f aca="false">0.6*AK66</f>
        <v>32.94</v>
      </c>
      <c r="AM66" s="33"/>
      <c r="AN66" s="33" t="n">
        <v>0</v>
      </c>
      <c r="AO66" s="2" t="n">
        <v>6.17</v>
      </c>
      <c r="AP66" s="33" t="n">
        <v>16.7</v>
      </c>
      <c r="AQ66" s="33" t="n">
        <v>196.3</v>
      </c>
      <c r="AR66" s="35" t="n">
        <f aca="false">AQ66*0.5</f>
        <v>98.15</v>
      </c>
      <c r="AS66" s="33" t="n">
        <v>0</v>
      </c>
      <c r="AT66" s="33" t="n">
        <v>6.9</v>
      </c>
      <c r="AU66" s="33" t="n">
        <v>17.4</v>
      </c>
      <c r="AV66" s="33" t="n">
        <v>260</v>
      </c>
      <c r="AW66" s="35" t="n">
        <f aca="false">AV66*0.5</f>
        <v>130</v>
      </c>
      <c r="AX66" s="34" t="n">
        <v>0.85</v>
      </c>
      <c r="AY66" s="33" t="n">
        <v>0</v>
      </c>
    </row>
    <row r="67" customFormat="false" ht="15" hidden="false" customHeight="false" outlineLevel="0" collapsed="false">
      <c r="A67" s="16" t="n">
        <v>45313</v>
      </c>
      <c r="B67" s="22" t="s">
        <v>53</v>
      </c>
      <c r="C67" s="32" t="n">
        <v>8.08</v>
      </c>
      <c r="D67" s="33" t="n">
        <v>17.1</v>
      </c>
      <c r="E67" s="33" t="n">
        <v>55</v>
      </c>
      <c r="F67" s="33" t="n">
        <f aca="false">E67*0.6</f>
        <v>33</v>
      </c>
      <c r="G67" s="33" t="n">
        <v>0.44</v>
      </c>
      <c r="H67" s="33" t="n">
        <v>8.04</v>
      </c>
      <c r="I67" s="33" t="n">
        <v>17.1</v>
      </c>
      <c r="J67" s="33" t="n">
        <v>55</v>
      </c>
      <c r="K67" s="33" t="n">
        <f aca="false">J67*0.6</f>
        <v>33</v>
      </c>
      <c r="L67" s="33" t="n">
        <v>0.69</v>
      </c>
      <c r="M67" s="33" t="n">
        <v>8.04</v>
      </c>
      <c r="N67" s="33" t="n">
        <v>17.1</v>
      </c>
      <c r="O67" s="33" t="n">
        <v>55</v>
      </c>
      <c r="P67" s="33" t="n">
        <f aca="false">O67*0.6</f>
        <v>33</v>
      </c>
      <c r="Q67" s="33" t="n">
        <v>0.69</v>
      </c>
      <c r="R67" s="33" t="n">
        <v>8.04</v>
      </c>
      <c r="S67" s="33" t="n">
        <v>17</v>
      </c>
      <c r="T67" s="33" t="n">
        <v>54.9</v>
      </c>
      <c r="U67" s="33" t="n">
        <f aca="false">T67*0.6</f>
        <v>32.94</v>
      </c>
      <c r="V67" s="33" t="n">
        <v>0</v>
      </c>
      <c r="W67" s="33" t="n">
        <v>8.04</v>
      </c>
      <c r="X67" s="33" t="n">
        <v>17</v>
      </c>
      <c r="Y67" s="33" t="n">
        <v>54.9</v>
      </c>
      <c r="Z67" s="33" t="n">
        <f aca="false">Y67*0.6</f>
        <v>32.94</v>
      </c>
      <c r="AA67" s="33" t="n">
        <v>0</v>
      </c>
      <c r="AB67" s="33" t="n">
        <v>8</v>
      </c>
      <c r="AC67" s="33" t="n">
        <v>17.1</v>
      </c>
      <c r="AD67" s="33" t="n">
        <v>54.6</v>
      </c>
      <c r="AE67" s="33" t="n">
        <f aca="false">AD67*0.6</f>
        <v>32.76</v>
      </c>
      <c r="AF67" s="37"/>
      <c r="AG67" s="33" t="n">
        <v>0</v>
      </c>
      <c r="AH67" s="38"/>
      <c r="AI67" s="33" t="n">
        <v>8</v>
      </c>
      <c r="AJ67" s="33" t="n">
        <v>17.1</v>
      </c>
      <c r="AK67" s="33" t="n">
        <v>54.6</v>
      </c>
      <c r="AL67" s="33" t="n">
        <f aca="false">AK67*0.6</f>
        <v>32.76</v>
      </c>
      <c r="AM67" s="37"/>
      <c r="AN67" s="33" t="n">
        <v>0</v>
      </c>
      <c r="AO67" s="2" t="n">
        <v>5.97</v>
      </c>
      <c r="AP67" s="33" t="n">
        <v>16.9</v>
      </c>
      <c r="AQ67" s="33" t="n">
        <v>178.3</v>
      </c>
      <c r="AR67" s="35" t="n">
        <f aca="false">AQ67*0.5</f>
        <v>89.15</v>
      </c>
      <c r="AS67" s="33" t="n">
        <v>0</v>
      </c>
      <c r="AT67" s="33" t="n">
        <v>6.71</v>
      </c>
      <c r="AU67" s="33" t="n">
        <v>17.1</v>
      </c>
      <c r="AV67" s="33" t="n">
        <v>260</v>
      </c>
      <c r="AW67" s="35" t="n">
        <f aca="false">AV67*0.5</f>
        <v>130</v>
      </c>
      <c r="AX67" s="34"/>
      <c r="AY67" s="33" t="n">
        <v>0</v>
      </c>
    </row>
    <row r="68" customFormat="false" ht="15" hidden="false" customHeight="false" outlineLevel="0" collapsed="false">
      <c r="A68" s="16" t="n">
        <v>45314</v>
      </c>
      <c r="B68" s="17" t="s">
        <v>51</v>
      </c>
      <c r="C68" s="32" t="n">
        <v>2</v>
      </c>
      <c r="D68" s="23" t="n">
        <v>15.8</v>
      </c>
      <c r="E68" s="33" t="n">
        <v>55</v>
      </c>
      <c r="F68" s="33" t="n">
        <f aca="false">E68*0.6</f>
        <v>33</v>
      </c>
      <c r="G68" s="33" t="n">
        <v>0.4</v>
      </c>
      <c r="H68" s="33" t="n">
        <v>8.12</v>
      </c>
      <c r="I68" s="23" t="n">
        <v>15.8</v>
      </c>
      <c r="J68" s="33" t="n">
        <v>55</v>
      </c>
      <c r="K68" s="33" t="n">
        <f aca="false">0.6*J68</f>
        <v>33</v>
      </c>
      <c r="L68" s="33" t="n">
        <v>0.77</v>
      </c>
      <c r="M68" s="33" t="n">
        <v>8.12</v>
      </c>
      <c r="N68" s="23" t="n">
        <v>15.8</v>
      </c>
      <c r="O68" s="33" t="n">
        <v>55</v>
      </c>
      <c r="P68" s="33" t="n">
        <f aca="false">0.6*O68</f>
        <v>33</v>
      </c>
      <c r="Q68" s="33" t="n">
        <v>0.77</v>
      </c>
      <c r="R68" s="33" t="n">
        <v>8.1</v>
      </c>
      <c r="S68" s="23" t="n">
        <v>16</v>
      </c>
      <c r="T68" s="33" t="n">
        <v>55</v>
      </c>
      <c r="U68" s="33" t="n">
        <f aca="false">0.6*T68</f>
        <v>33</v>
      </c>
      <c r="V68" s="33" t="n">
        <v>0</v>
      </c>
      <c r="W68" s="33" t="n">
        <v>8.1</v>
      </c>
      <c r="X68" s="23" t="n">
        <v>16</v>
      </c>
      <c r="Y68" s="33" t="n">
        <v>55</v>
      </c>
      <c r="Z68" s="33" t="n">
        <f aca="false">0.6*Y68</f>
        <v>33</v>
      </c>
      <c r="AA68" s="33" t="n">
        <v>0</v>
      </c>
      <c r="AB68" s="33" t="n">
        <v>8.09</v>
      </c>
      <c r="AC68" s="23" t="n">
        <v>16.7</v>
      </c>
      <c r="AD68" s="33" t="n">
        <v>49.9</v>
      </c>
      <c r="AE68" s="33" t="n">
        <f aca="false">0.6*AD68</f>
        <v>29.94</v>
      </c>
      <c r="AF68" s="33"/>
      <c r="AG68" s="33" t="n">
        <v>0</v>
      </c>
      <c r="AH68" s="33"/>
      <c r="AI68" s="33" t="n">
        <v>8.09</v>
      </c>
      <c r="AJ68" s="23" t="n">
        <v>16.7</v>
      </c>
      <c r="AK68" s="33" t="n">
        <v>49.9</v>
      </c>
      <c r="AL68" s="33" t="n">
        <f aca="false">0.6*AK68</f>
        <v>29.94</v>
      </c>
      <c r="AM68" s="33"/>
      <c r="AN68" s="33" t="n">
        <v>0</v>
      </c>
      <c r="AO68" s="2" t="n">
        <v>6.19</v>
      </c>
      <c r="AP68" s="23" t="n">
        <v>16.2</v>
      </c>
      <c r="AQ68" s="33" t="n">
        <v>199</v>
      </c>
      <c r="AR68" s="33" t="n">
        <f aca="false">AQ68*0.5</f>
        <v>99.5</v>
      </c>
      <c r="AS68" s="33" t="n">
        <v>0</v>
      </c>
      <c r="AT68" s="33" t="n">
        <v>7.06</v>
      </c>
      <c r="AU68" s="23" t="n">
        <v>16.6</v>
      </c>
      <c r="AV68" s="33" t="n">
        <v>263</v>
      </c>
      <c r="AW68" s="33" t="n">
        <f aca="false">AV68*0.5</f>
        <v>131.5</v>
      </c>
      <c r="AX68" s="34" t="n">
        <v>0.83</v>
      </c>
      <c r="AY68" s="33" t="n">
        <v>0</v>
      </c>
    </row>
    <row r="69" customFormat="false" ht="15" hidden="false" customHeight="false" outlineLevel="0" collapsed="false">
      <c r="A69" s="16" t="n">
        <v>45314</v>
      </c>
      <c r="B69" s="22" t="s">
        <v>52</v>
      </c>
      <c r="C69" s="32" t="n">
        <v>8.06</v>
      </c>
      <c r="D69" s="23" t="n">
        <v>16.8</v>
      </c>
      <c r="E69" s="33" t="n">
        <v>55.2</v>
      </c>
      <c r="F69" s="33" t="n">
        <f aca="false">E69*0.6</f>
        <v>33.12</v>
      </c>
      <c r="G69" s="33" t="n">
        <v>0.35</v>
      </c>
      <c r="H69" s="33" t="n">
        <v>7.97</v>
      </c>
      <c r="I69" s="23" t="n">
        <v>16.3</v>
      </c>
      <c r="J69" s="33" t="n">
        <v>55.1</v>
      </c>
      <c r="K69" s="33" t="n">
        <f aca="false">J69*0.6</f>
        <v>33.06</v>
      </c>
      <c r="L69" s="33" t="n">
        <v>0.79</v>
      </c>
      <c r="M69" s="33" t="n">
        <v>7.97</v>
      </c>
      <c r="N69" s="23" t="n">
        <v>16.3</v>
      </c>
      <c r="O69" s="33" t="n">
        <v>55.1</v>
      </c>
      <c r="P69" s="33" t="n">
        <f aca="false">O69*0.6</f>
        <v>33.06</v>
      </c>
      <c r="Q69" s="33" t="n">
        <v>0.79</v>
      </c>
      <c r="R69" s="33" t="n">
        <v>7.98</v>
      </c>
      <c r="S69" s="23" t="n">
        <v>15.9</v>
      </c>
      <c r="T69" s="33" t="n">
        <v>55.2</v>
      </c>
      <c r="U69" s="33" t="n">
        <f aca="false">T69*0.6</f>
        <v>33.12</v>
      </c>
      <c r="V69" s="33" t="n">
        <v>0</v>
      </c>
      <c r="W69" s="33" t="n">
        <v>7.98</v>
      </c>
      <c r="X69" s="23" t="n">
        <v>15.9</v>
      </c>
      <c r="Y69" s="33" t="n">
        <v>55.2</v>
      </c>
      <c r="Z69" s="33" t="n">
        <f aca="false">Y69*0.6</f>
        <v>33.12</v>
      </c>
      <c r="AA69" s="33" t="n">
        <v>0</v>
      </c>
      <c r="AB69" s="33" t="n">
        <v>7.94</v>
      </c>
      <c r="AC69" s="23" t="n">
        <v>15.6</v>
      </c>
      <c r="AD69" s="33" t="n">
        <v>55.3</v>
      </c>
      <c r="AE69" s="33" t="n">
        <f aca="false">AD69*0.6</f>
        <v>33.18</v>
      </c>
      <c r="AF69" s="33"/>
      <c r="AG69" s="33" t="n">
        <v>0</v>
      </c>
      <c r="AH69" s="33"/>
      <c r="AI69" s="33" t="n">
        <v>7.94</v>
      </c>
      <c r="AJ69" s="23" t="n">
        <v>15.6</v>
      </c>
      <c r="AK69" s="33" t="n">
        <v>55.3</v>
      </c>
      <c r="AL69" s="33" t="n">
        <f aca="false">0.6*AK69</f>
        <v>33.18</v>
      </c>
      <c r="AM69" s="33"/>
      <c r="AN69" s="33" t="n">
        <v>0</v>
      </c>
      <c r="AO69" s="2" t="n">
        <v>5.89</v>
      </c>
      <c r="AP69" s="23" t="n">
        <v>16.5</v>
      </c>
      <c r="AQ69" s="33" t="n">
        <v>198.9</v>
      </c>
      <c r="AR69" s="35" t="n">
        <f aca="false">AQ69*0.5</f>
        <v>99.45</v>
      </c>
      <c r="AS69" s="33" t="n">
        <v>0</v>
      </c>
      <c r="AT69" s="33" t="n">
        <v>6.75</v>
      </c>
      <c r="AU69" s="23" t="n">
        <v>16.8</v>
      </c>
      <c r="AV69" s="33" t="n">
        <v>260</v>
      </c>
      <c r="AW69" s="35" t="n">
        <f aca="false">AV69*0.5</f>
        <v>130</v>
      </c>
      <c r="AX69" s="34"/>
      <c r="AY69" s="33" t="n">
        <v>0</v>
      </c>
    </row>
    <row r="70" customFormat="false" ht="15" hidden="false" customHeight="false" outlineLevel="0" collapsed="false">
      <c r="A70" s="16" t="n">
        <v>45314</v>
      </c>
      <c r="B70" s="22" t="s">
        <v>53</v>
      </c>
      <c r="C70" s="32" t="n">
        <v>8.11</v>
      </c>
      <c r="D70" s="23" t="n">
        <v>16.4</v>
      </c>
      <c r="E70" s="33" t="n">
        <v>55.1</v>
      </c>
      <c r="F70" s="33" t="n">
        <f aca="false">E70*0.6</f>
        <v>33.06</v>
      </c>
      <c r="G70" s="33" t="n">
        <v>0.43</v>
      </c>
      <c r="H70" s="33" t="n">
        <v>8.1</v>
      </c>
      <c r="I70" s="23" t="n">
        <v>16.4</v>
      </c>
      <c r="J70" s="33" t="n">
        <v>55.1</v>
      </c>
      <c r="K70" s="33" t="n">
        <f aca="false">J70*0.6</f>
        <v>33.06</v>
      </c>
      <c r="L70" s="33" t="n">
        <v>0.59</v>
      </c>
      <c r="M70" s="33" t="n">
        <v>8.1</v>
      </c>
      <c r="N70" s="23" t="n">
        <v>16.4</v>
      </c>
      <c r="O70" s="33" t="n">
        <v>55.1</v>
      </c>
      <c r="P70" s="33" t="n">
        <f aca="false">O70*0.6</f>
        <v>33.06</v>
      </c>
      <c r="Q70" s="33" t="n">
        <v>0.59</v>
      </c>
      <c r="R70" s="33" t="n">
        <v>8.09</v>
      </c>
      <c r="S70" s="23" t="n">
        <v>16.3</v>
      </c>
      <c r="T70" s="33" t="n">
        <v>54.9</v>
      </c>
      <c r="U70" s="33" t="n">
        <f aca="false">T70*0.6</f>
        <v>32.94</v>
      </c>
      <c r="V70" s="33" t="n">
        <v>0</v>
      </c>
      <c r="W70" s="33" t="n">
        <v>8.09</v>
      </c>
      <c r="X70" s="23" t="n">
        <v>16.3</v>
      </c>
      <c r="Y70" s="33" t="n">
        <v>54.9</v>
      </c>
      <c r="Z70" s="33" t="n">
        <f aca="false">Y70*0.6</f>
        <v>32.94</v>
      </c>
      <c r="AA70" s="33" t="n">
        <v>0</v>
      </c>
      <c r="AB70" s="33" t="n">
        <v>7.94</v>
      </c>
      <c r="AC70" s="23" t="n">
        <v>15.6</v>
      </c>
      <c r="AD70" s="33" t="n">
        <v>55.3</v>
      </c>
      <c r="AE70" s="33" t="n">
        <f aca="false">AD70*0.6</f>
        <v>33.18</v>
      </c>
      <c r="AF70" s="33"/>
      <c r="AG70" s="33" t="n">
        <v>0</v>
      </c>
      <c r="AH70" s="38"/>
      <c r="AI70" s="33" t="n">
        <v>7.94</v>
      </c>
      <c r="AJ70" s="23" t="n">
        <v>15.6</v>
      </c>
      <c r="AK70" s="33" t="n">
        <v>55.3</v>
      </c>
      <c r="AL70" s="33" t="n">
        <f aca="false">AK70*0.6</f>
        <v>33.18</v>
      </c>
      <c r="AM70" s="33"/>
      <c r="AN70" s="33" t="n">
        <v>0</v>
      </c>
      <c r="AO70" s="2" t="n">
        <v>5.85</v>
      </c>
      <c r="AP70" s="23" t="n">
        <v>16.9</v>
      </c>
      <c r="AQ70" s="33" t="n">
        <v>201</v>
      </c>
      <c r="AR70" s="35" t="n">
        <f aca="false">AQ70*0.5</f>
        <v>100.5</v>
      </c>
      <c r="AS70" s="33" t="n">
        <v>0</v>
      </c>
      <c r="AT70" s="33" t="n">
        <v>6.73</v>
      </c>
      <c r="AU70" s="23" t="n">
        <v>17.3</v>
      </c>
      <c r="AV70" s="33" t="n">
        <v>258</v>
      </c>
      <c r="AW70" s="35" t="n">
        <f aca="false">AV70*0.5</f>
        <v>129</v>
      </c>
      <c r="AX70" s="34" t="n">
        <v>1.04</v>
      </c>
      <c r="AY70" s="33" t="n">
        <v>0</v>
      </c>
    </row>
    <row r="71" customFormat="false" ht="15" hidden="false" customHeight="false" outlineLevel="0" collapsed="false">
      <c r="A71" s="16" t="n">
        <v>45315</v>
      </c>
      <c r="B71" s="17" t="s">
        <v>51</v>
      </c>
      <c r="C71" s="32" t="n">
        <v>8.07</v>
      </c>
      <c r="D71" s="23" t="n">
        <v>15.9</v>
      </c>
      <c r="E71" s="33" t="n">
        <v>55.3</v>
      </c>
      <c r="F71" s="33" t="n">
        <f aca="false">E71*0.6</f>
        <v>33.18</v>
      </c>
      <c r="G71" s="33" t="n">
        <v>0.17</v>
      </c>
      <c r="H71" s="33" t="n">
        <v>8.06</v>
      </c>
      <c r="I71" s="23" t="n">
        <v>16</v>
      </c>
      <c r="J71" s="33" t="n">
        <v>55.1</v>
      </c>
      <c r="K71" s="33" t="n">
        <f aca="false">0.6*J71</f>
        <v>33.06</v>
      </c>
      <c r="L71" s="33" t="n">
        <v>0.43</v>
      </c>
      <c r="M71" s="33" t="n">
        <v>8.06</v>
      </c>
      <c r="N71" s="23" t="n">
        <v>16</v>
      </c>
      <c r="O71" s="33" t="n">
        <v>55.1</v>
      </c>
      <c r="P71" s="33" t="n">
        <f aca="false">0.6*O71</f>
        <v>33.06</v>
      </c>
      <c r="Q71" s="33" t="n">
        <v>0.43</v>
      </c>
      <c r="R71" s="33" t="n">
        <v>8.04</v>
      </c>
      <c r="S71" s="23" t="n">
        <v>16.3</v>
      </c>
      <c r="T71" s="33" t="n">
        <v>55.1</v>
      </c>
      <c r="U71" s="33" t="n">
        <f aca="false">0.6*T71</f>
        <v>33.06</v>
      </c>
      <c r="V71" s="33" t="n">
        <v>0</v>
      </c>
      <c r="W71" s="33" t="n">
        <v>8.04</v>
      </c>
      <c r="X71" s="23" t="n">
        <v>16.3</v>
      </c>
      <c r="Y71" s="33" t="n">
        <v>55.1</v>
      </c>
      <c r="Z71" s="33" t="n">
        <f aca="false">0.6*Y71</f>
        <v>33.06</v>
      </c>
      <c r="AA71" s="33" t="n">
        <v>0</v>
      </c>
      <c r="AB71" s="33" t="n">
        <v>7.9</v>
      </c>
      <c r="AC71" s="23" t="n">
        <v>17</v>
      </c>
      <c r="AD71" s="33" t="n">
        <v>55.1</v>
      </c>
      <c r="AE71" s="33" t="n">
        <f aca="false">0.6*AD71</f>
        <v>33.06</v>
      </c>
      <c r="AF71" s="33"/>
      <c r="AG71" s="33" t="n">
        <v>0</v>
      </c>
      <c r="AH71" s="33"/>
      <c r="AI71" s="33" t="n">
        <v>7.9</v>
      </c>
      <c r="AJ71" s="23" t="n">
        <v>17</v>
      </c>
      <c r="AK71" s="33" t="n">
        <v>55.1</v>
      </c>
      <c r="AL71" s="33" t="n">
        <f aca="false">0.6*AK71</f>
        <v>33.06</v>
      </c>
      <c r="AM71" s="33"/>
      <c r="AN71" s="33" t="n">
        <v>0</v>
      </c>
      <c r="AO71" s="2" t="n">
        <v>6.03</v>
      </c>
      <c r="AP71" s="23" t="n">
        <v>15.5</v>
      </c>
      <c r="AQ71" s="33" t="n">
        <v>244</v>
      </c>
      <c r="AR71" s="33" t="n">
        <f aca="false">AQ71*0.5</f>
        <v>122</v>
      </c>
      <c r="AS71" s="33" t="n">
        <v>0</v>
      </c>
      <c r="AT71" s="33" t="n">
        <v>6.77</v>
      </c>
      <c r="AU71" s="23" t="n">
        <v>16.4</v>
      </c>
      <c r="AV71" s="33" t="n">
        <v>476</v>
      </c>
      <c r="AW71" s="33" t="n">
        <f aca="false">AV71*0.5</f>
        <v>238</v>
      </c>
      <c r="AX71" s="34" t="n">
        <v>0.81</v>
      </c>
      <c r="AY71" s="33" t="n">
        <v>0</v>
      </c>
    </row>
    <row r="72" customFormat="false" ht="15" hidden="false" customHeight="false" outlineLevel="0" collapsed="false">
      <c r="A72" s="16" t="n">
        <v>45315</v>
      </c>
      <c r="B72" s="22" t="s">
        <v>52</v>
      </c>
      <c r="C72" s="32" t="n">
        <v>8.07</v>
      </c>
      <c r="D72" s="23" t="n">
        <v>16.5</v>
      </c>
      <c r="E72" s="33" t="n">
        <v>55.3</v>
      </c>
      <c r="F72" s="33" t="n">
        <f aca="false">E72*0.6</f>
        <v>33.18</v>
      </c>
      <c r="G72" s="33" t="n">
        <v>0.13</v>
      </c>
      <c r="H72" s="33" t="n">
        <v>8.02</v>
      </c>
      <c r="I72" s="23" t="n">
        <v>16.2</v>
      </c>
      <c r="J72" s="33" t="n">
        <v>55.3</v>
      </c>
      <c r="K72" s="33" t="n">
        <f aca="false">J72*0.6</f>
        <v>33.18</v>
      </c>
      <c r="L72" s="33" t="n">
        <v>0.58</v>
      </c>
      <c r="M72" s="33" t="n">
        <v>8.02</v>
      </c>
      <c r="N72" s="23" t="n">
        <v>16.2</v>
      </c>
      <c r="O72" s="33" t="n">
        <v>55.3</v>
      </c>
      <c r="P72" s="33" t="n">
        <f aca="false">O72*0.6</f>
        <v>33.18</v>
      </c>
      <c r="Q72" s="33" t="n">
        <v>0.58</v>
      </c>
      <c r="R72" s="33" t="n">
        <v>8.02</v>
      </c>
      <c r="S72" s="23" t="n">
        <v>16.1</v>
      </c>
      <c r="T72" s="33" t="n">
        <v>55.5</v>
      </c>
      <c r="U72" s="33" t="n">
        <f aca="false">T72*0.6</f>
        <v>33.3</v>
      </c>
      <c r="V72" s="33" t="n">
        <v>0</v>
      </c>
      <c r="W72" s="33" t="n">
        <v>8.02</v>
      </c>
      <c r="X72" s="23" t="n">
        <v>16.1</v>
      </c>
      <c r="Y72" s="33" t="n">
        <v>55.5</v>
      </c>
      <c r="Z72" s="33" t="n">
        <f aca="false">Y72*0.6</f>
        <v>33.3</v>
      </c>
      <c r="AA72" s="33" t="n">
        <v>0</v>
      </c>
      <c r="AB72" s="33" t="n">
        <v>8.01</v>
      </c>
      <c r="AC72" s="23" t="n">
        <v>16.2</v>
      </c>
      <c r="AD72" s="33" t="n">
        <v>55.3</v>
      </c>
      <c r="AE72" s="33" t="n">
        <f aca="false">AD72*0.6</f>
        <v>33.18</v>
      </c>
      <c r="AF72" s="33"/>
      <c r="AG72" s="33" t="n">
        <v>0</v>
      </c>
      <c r="AH72" s="33"/>
      <c r="AI72" s="33" t="n">
        <v>8.01</v>
      </c>
      <c r="AJ72" s="23" t="n">
        <v>16.2</v>
      </c>
      <c r="AK72" s="33" t="n">
        <v>55.3</v>
      </c>
      <c r="AL72" s="33" t="n">
        <f aca="false">0.6*AK72</f>
        <v>33.18</v>
      </c>
      <c r="AM72" s="33"/>
      <c r="AN72" s="33" t="n">
        <v>0</v>
      </c>
      <c r="AO72" s="2" t="n">
        <v>6</v>
      </c>
      <c r="AP72" s="23" t="n">
        <v>16.9</v>
      </c>
      <c r="AQ72" s="33" t="n">
        <v>194.6</v>
      </c>
      <c r="AR72" s="35" t="n">
        <f aca="false">AQ72*0.5</f>
        <v>97.3</v>
      </c>
      <c r="AS72" s="33" t="n">
        <v>0</v>
      </c>
      <c r="AT72" s="33" t="n">
        <v>6.81</v>
      </c>
      <c r="AU72" s="23" t="n">
        <v>17</v>
      </c>
      <c r="AV72" s="33" t="n">
        <v>260</v>
      </c>
      <c r="AW72" s="35" t="n">
        <f aca="false">AV72*0.5</f>
        <v>130</v>
      </c>
      <c r="AX72" s="34"/>
      <c r="AY72" s="33" t="n">
        <v>0</v>
      </c>
    </row>
    <row r="73" customFormat="false" ht="15" hidden="false" customHeight="false" outlineLevel="0" collapsed="false">
      <c r="A73" s="16" t="n">
        <v>45315</v>
      </c>
      <c r="B73" s="22" t="s">
        <v>53</v>
      </c>
      <c r="C73" s="32" t="n">
        <v>8.07</v>
      </c>
      <c r="D73" s="23" t="n">
        <v>16.5</v>
      </c>
      <c r="E73" s="33" t="n">
        <v>55.3</v>
      </c>
      <c r="F73" s="33" t="n">
        <f aca="false">E73*0.6</f>
        <v>33.18</v>
      </c>
      <c r="G73" s="33" t="n">
        <v>0.19</v>
      </c>
      <c r="H73" s="33" t="n">
        <v>8.07</v>
      </c>
      <c r="I73" s="23" t="n">
        <v>16.5</v>
      </c>
      <c r="J73" s="33" t="n">
        <v>55.3</v>
      </c>
      <c r="K73" s="33" t="n">
        <f aca="false">J73*0.6</f>
        <v>33.18</v>
      </c>
      <c r="L73" s="33" t="n">
        <v>0.52</v>
      </c>
      <c r="M73" s="33" t="n">
        <v>8.07</v>
      </c>
      <c r="N73" s="23" t="n">
        <v>16.5</v>
      </c>
      <c r="O73" s="33" t="n">
        <v>55.3</v>
      </c>
      <c r="P73" s="33" t="n">
        <f aca="false">O73*0.6</f>
        <v>33.18</v>
      </c>
      <c r="Q73" s="33" t="n">
        <v>0.52</v>
      </c>
      <c r="R73" s="33" t="n">
        <v>8.01</v>
      </c>
      <c r="S73" s="23" t="n">
        <v>16.6</v>
      </c>
      <c r="T73" s="33" t="n">
        <v>55.2</v>
      </c>
      <c r="U73" s="33" t="n">
        <f aca="false">T73*0.6</f>
        <v>33.12</v>
      </c>
      <c r="V73" s="33" t="n">
        <v>0</v>
      </c>
      <c r="W73" s="33" t="n">
        <v>8.01</v>
      </c>
      <c r="X73" s="23" t="n">
        <v>16.6</v>
      </c>
      <c r="Y73" s="33" t="n">
        <v>55.2</v>
      </c>
      <c r="Z73" s="33" t="n">
        <f aca="false">Y73*0.6</f>
        <v>33.12</v>
      </c>
      <c r="AA73" s="33" t="n">
        <v>0</v>
      </c>
      <c r="AB73" s="33" t="n">
        <v>7.99</v>
      </c>
      <c r="AC73" s="23" t="n">
        <v>17</v>
      </c>
      <c r="AD73" s="33" t="n">
        <v>55.1</v>
      </c>
      <c r="AE73" s="33" t="n">
        <f aca="false">AD73*0.6</f>
        <v>33.06</v>
      </c>
      <c r="AF73" s="33"/>
      <c r="AG73" s="33" t="n">
        <v>0</v>
      </c>
      <c r="AH73" s="38"/>
      <c r="AI73" s="33" t="n">
        <v>7.99</v>
      </c>
      <c r="AJ73" s="23" t="n">
        <v>17</v>
      </c>
      <c r="AK73" s="33" t="n">
        <v>55.1</v>
      </c>
      <c r="AL73" s="33" t="n">
        <f aca="false">AK73*0.6</f>
        <v>33.06</v>
      </c>
      <c r="AM73" s="33"/>
      <c r="AN73" s="33" t="n">
        <v>0</v>
      </c>
      <c r="AO73" s="2" t="n">
        <v>6.08</v>
      </c>
      <c r="AP73" s="23" t="n">
        <v>17</v>
      </c>
      <c r="AQ73" s="33" t="n">
        <v>197</v>
      </c>
      <c r="AR73" s="35" t="n">
        <f aca="false">AQ73*0.5</f>
        <v>98.5</v>
      </c>
      <c r="AS73" s="33" t="n">
        <v>0</v>
      </c>
      <c r="AT73" s="33" t="n">
        <v>6.92</v>
      </c>
      <c r="AU73" s="23" t="n">
        <v>18.2</v>
      </c>
      <c r="AV73" s="33" t="n">
        <v>267</v>
      </c>
      <c r="AW73" s="35" t="n">
        <f aca="false">AV73*0.5</f>
        <v>133.5</v>
      </c>
      <c r="AX73" s="34" t="n">
        <v>1.04</v>
      </c>
      <c r="AY73" s="33" t="n">
        <v>0</v>
      </c>
    </row>
    <row r="74" customFormat="false" ht="15" hidden="false" customHeight="false" outlineLevel="0" collapsed="false">
      <c r="A74" s="16" t="n">
        <v>45316</v>
      </c>
      <c r="B74" s="17" t="s">
        <v>51</v>
      </c>
      <c r="C74" s="32" t="n">
        <v>8.07</v>
      </c>
      <c r="D74" s="23" t="n">
        <v>16.8</v>
      </c>
      <c r="E74" s="33" t="n">
        <v>55.5</v>
      </c>
      <c r="F74" s="33" t="n">
        <f aca="false">E74*0.6</f>
        <v>33.3</v>
      </c>
      <c r="G74" s="33" t="n">
        <v>1.2</v>
      </c>
      <c r="H74" s="33" t="n">
        <v>8.07</v>
      </c>
      <c r="I74" s="23" t="n">
        <v>16.8</v>
      </c>
      <c r="J74" s="33" t="n">
        <v>55.5</v>
      </c>
      <c r="K74" s="33" t="n">
        <f aca="false">J74*0.6</f>
        <v>33.3</v>
      </c>
      <c r="L74" s="33" t="n">
        <v>0.71</v>
      </c>
      <c r="M74" s="33" t="n">
        <v>8.07</v>
      </c>
      <c r="N74" s="23" t="n">
        <v>16.8</v>
      </c>
      <c r="O74" s="33" t="n">
        <v>55.5</v>
      </c>
      <c r="P74" s="33" t="n">
        <f aca="false">O74*0.6</f>
        <v>33.3</v>
      </c>
      <c r="Q74" s="33" t="n">
        <v>0.71</v>
      </c>
      <c r="R74" s="33" t="n">
        <v>8.05</v>
      </c>
      <c r="S74" s="23" t="n">
        <v>17</v>
      </c>
      <c r="T74" s="33" t="n">
        <v>55.1</v>
      </c>
      <c r="U74" s="33" t="n">
        <f aca="false">0.6*T74</f>
        <v>33.06</v>
      </c>
      <c r="V74" s="33" t="n">
        <v>0</v>
      </c>
      <c r="W74" s="33" t="n">
        <v>8.05</v>
      </c>
      <c r="X74" s="23" t="n">
        <v>17</v>
      </c>
      <c r="Y74" s="33" t="n">
        <v>55.1</v>
      </c>
      <c r="Z74" s="33" t="n">
        <f aca="false">0.6*Y74</f>
        <v>33.06</v>
      </c>
      <c r="AA74" s="33" t="n">
        <v>0</v>
      </c>
      <c r="AB74" s="33" t="n">
        <v>8.04</v>
      </c>
      <c r="AC74" s="23" t="n">
        <v>17.5</v>
      </c>
      <c r="AD74" s="33" t="n">
        <v>55.1</v>
      </c>
      <c r="AE74" s="33" t="n">
        <f aca="false">0.6*AD74</f>
        <v>33.06</v>
      </c>
      <c r="AF74" s="33"/>
      <c r="AG74" s="33" t="n">
        <v>0</v>
      </c>
      <c r="AH74" s="33"/>
      <c r="AI74" s="33" t="n">
        <v>8.04</v>
      </c>
      <c r="AJ74" s="23" t="n">
        <v>17.5</v>
      </c>
      <c r="AK74" s="33" t="n">
        <v>55.1</v>
      </c>
      <c r="AL74" s="33" t="n">
        <f aca="false">0.6*AK74</f>
        <v>33.06</v>
      </c>
      <c r="AM74" s="33"/>
      <c r="AN74" s="33" t="n">
        <v>0</v>
      </c>
      <c r="AO74" s="2" t="n">
        <v>6.5</v>
      </c>
      <c r="AP74" s="23" t="n">
        <v>17.8</v>
      </c>
      <c r="AQ74" s="33" t="n">
        <v>199</v>
      </c>
      <c r="AR74" s="33" t="n">
        <f aca="false">AQ74*0.5</f>
        <v>99.5</v>
      </c>
      <c r="AS74" s="33" t="n">
        <v>0</v>
      </c>
      <c r="AT74" s="33" t="n">
        <v>6.75</v>
      </c>
      <c r="AU74" s="23" t="n">
        <v>18.6</v>
      </c>
      <c r="AV74" s="33" t="n">
        <v>267</v>
      </c>
      <c r="AW74" s="33" t="n">
        <f aca="false">AV74*0.5</f>
        <v>133.5</v>
      </c>
      <c r="AX74" s="34" t="n">
        <v>0.97</v>
      </c>
      <c r="AY74" s="33" t="n">
        <v>0</v>
      </c>
    </row>
    <row r="75" customFormat="false" ht="15" hidden="false" customHeight="false" outlineLevel="0" collapsed="false">
      <c r="A75" s="16" t="n">
        <v>45316</v>
      </c>
      <c r="B75" s="22" t="s">
        <v>52</v>
      </c>
      <c r="C75" s="32" t="n">
        <v>8.01</v>
      </c>
      <c r="D75" s="23" t="n">
        <v>17.5</v>
      </c>
      <c r="E75" s="33" t="n">
        <v>55</v>
      </c>
      <c r="F75" s="33" t="n">
        <f aca="false">E75*0.6</f>
        <v>33</v>
      </c>
      <c r="G75" s="33" t="n">
        <v>0.76</v>
      </c>
      <c r="H75" s="33" t="n">
        <v>7.99</v>
      </c>
      <c r="I75" s="23" t="n">
        <v>16.5</v>
      </c>
      <c r="J75" s="33" t="n">
        <v>55.2</v>
      </c>
      <c r="K75" s="33" t="n">
        <f aca="false">J75*0.6</f>
        <v>33.12</v>
      </c>
      <c r="L75" s="33" t="n">
        <v>0.81</v>
      </c>
      <c r="M75" s="33" t="n">
        <v>7.99</v>
      </c>
      <c r="N75" s="23" t="n">
        <v>16.5</v>
      </c>
      <c r="O75" s="33" t="n">
        <v>55.2</v>
      </c>
      <c r="P75" s="33" t="n">
        <f aca="false">O75*0.6</f>
        <v>33.12</v>
      </c>
      <c r="Q75" s="33" t="n">
        <v>0.81</v>
      </c>
      <c r="R75" s="33" t="n">
        <v>7.99</v>
      </c>
      <c r="S75" s="23" t="n">
        <v>16.6</v>
      </c>
      <c r="T75" s="33" t="n">
        <v>55.5</v>
      </c>
      <c r="U75" s="33" t="n">
        <f aca="false">T75*0.6</f>
        <v>33.3</v>
      </c>
      <c r="V75" s="33" t="n">
        <v>0</v>
      </c>
      <c r="W75" s="33" t="n">
        <v>7.99</v>
      </c>
      <c r="X75" s="23" t="n">
        <v>16.5</v>
      </c>
      <c r="Y75" s="33" t="n">
        <v>55.5</v>
      </c>
      <c r="Z75" s="33" t="n">
        <f aca="false">Y75*0.6</f>
        <v>33.3</v>
      </c>
      <c r="AA75" s="33" t="n">
        <v>0</v>
      </c>
      <c r="AB75" s="33" t="n">
        <v>7.98</v>
      </c>
      <c r="AC75" s="23" t="n">
        <v>16.5</v>
      </c>
      <c r="AD75" s="33" t="n">
        <v>55.5</v>
      </c>
      <c r="AE75" s="33" t="n">
        <f aca="false">AD75*0.6</f>
        <v>33.3</v>
      </c>
      <c r="AF75" s="33"/>
      <c r="AG75" s="33" t="n">
        <v>0</v>
      </c>
      <c r="AH75" s="33"/>
      <c r="AI75" s="33" t="n">
        <v>7.98</v>
      </c>
      <c r="AJ75" s="23" t="n">
        <v>16.5</v>
      </c>
      <c r="AK75" s="33" t="n">
        <v>55.5</v>
      </c>
      <c r="AL75" s="33" t="n">
        <f aca="false">0.6*AK75</f>
        <v>33.3</v>
      </c>
      <c r="AM75" s="33"/>
      <c r="AN75" s="33" t="n">
        <v>0</v>
      </c>
      <c r="AO75" s="2" t="n">
        <v>6.15</v>
      </c>
      <c r="AP75" s="23" t="n">
        <v>16.9</v>
      </c>
      <c r="AQ75" s="33" t="n">
        <v>202</v>
      </c>
      <c r="AR75" s="35" t="n">
        <f aca="false">AQ75*0.5</f>
        <v>101</v>
      </c>
      <c r="AS75" s="33" t="n">
        <v>0</v>
      </c>
      <c r="AT75" s="33" t="n">
        <v>6.81</v>
      </c>
      <c r="AU75" s="23" t="n">
        <v>17.1</v>
      </c>
      <c r="AV75" s="33" t="n">
        <v>264</v>
      </c>
      <c r="AW75" s="35" t="n">
        <f aca="false">AV75*0.5</f>
        <v>132</v>
      </c>
      <c r="AX75" s="34"/>
      <c r="AY75" s="33" t="n">
        <v>0</v>
      </c>
    </row>
    <row r="76" customFormat="false" ht="15" hidden="false" customHeight="false" outlineLevel="0" collapsed="false">
      <c r="A76" s="16" t="n">
        <v>45316</v>
      </c>
      <c r="B76" s="22" t="s">
        <v>53</v>
      </c>
      <c r="C76" s="29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</row>
    <row r="77" customFormat="false" ht="15" hidden="false" customHeight="false" outlineLevel="0" collapsed="false">
      <c r="A77" s="16" t="n">
        <v>45317</v>
      </c>
      <c r="B77" s="17" t="s">
        <v>51</v>
      </c>
      <c r="C77" s="29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</row>
    <row r="78" customFormat="false" ht="15" hidden="false" customHeight="false" outlineLevel="0" collapsed="false">
      <c r="A78" s="16" t="n">
        <v>45317</v>
      </c>
      <c r="B78" s="22" t="s">
        <v>52</v>
      </c>
      <c r="C78" s="29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</row>
    <row r="79" customFormat="false" ht="15" hidden="false" customHeight="false" outlineLevel="0" collapsed="false">
      <c r="A79" s="16" t="n">
        <v>45317</v>
      </c>
      <c r="B79" s="22" t="s">
        <v>53</v>
      </c>
      <c r="C79" s="29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</row>
    <row r="80" customFormat="false" ht="15" hidden="false" customHeight="false" outlineLevel="0" collapsed="false">
      <c r="A80" s="16" t="n">
        <v>45318</v>
      </c>
      <c r="B80" s="17" t="s">
        <v>51</v>
      </c>
      <c r="C80" s="32" t="n">
        <v>8.07</v>
      </c>
      <c r="D80" s="23" t="n">
        <v>17.2</v>
      </c>
      <c r="E80" s="33" t="n">
        <v>55.3</v>
      </c>
      <c r="F80" s="33" t="n">
        <f aca="false">E80*0.6</f>
        <v>33.18</v>
      </c>
      <c r="G80" s="33" t="n">
        <v>0.15</v>
      </c>
      <c r="H80" s="33" t="n">
        <v>8.07</v>
      </c>
      <c r="I80" s="23" t="n">
        <v>17.2</v>
      </c>
      <c r="J80" s="33" t="n">
        <v>55.3</v>
      </c>
      <c r="K80" s="33" t="n">
        <f aca="false">J80*0.6</f>
        <v>33.18</v>
      </c>
      <c r="L80" s="33" t="n">
        <v>0.22</v>
      </c>
      <c r="M80" s="33" t="n">
        <v>8.07</v>
      </c>
      <c r="N80" s="23" t="n">
        <v>17.2</v>
      </c>
      <c r="O80" s="33" t="n">
        <v>55.3</v>
      </c>
      <c r="P80" s="33" t="n">
        <f aca="false">O80*0.6</f>
        <v>33.18</v>
      </c>
      <c r="Q80" s="33" t="n">
        <v>0.22</v>
      </c>
      <c r="R80" s="33" t="n">
        <v>8.05</v>
      </c>
      <c r="S80" s="23" t="n">
        <v>17.6</v>
      </c>
      <c r="T80" s="33" t="n">
        <v>55.1</v>
      </c>
      <c r="U80" s="33" t="n">
        <f aca="false">0.6*T80</f>
        <v>33.06</v>
      </c>
      <c r="V80" s="33" t="n">
        <v>0</v>
      </c>
      <c r="W80" s="33" t="n">
        <v>8.05</v>
      </c>
      <c r="X80" s="23" t="n">
        <v>17.6</v>
      </c>
      <c r="Y80" s="33" t="n">
        <v>55.1</v>
      </c>
      <c r="Z80" s="33" t="n">
        <f aca="false">0.6*Y80</f>
        <v>33.06</v>
      </c>
      <c r="AA80" s="33" t="n">
        <v>0</v>
      </c>
      <c r="AB80" s="33" t="n">
        <v>8</v>
      </c>
      <c r="AC80" s="23" t="n">
        <v>17.4</v>
      </c>
      <c r="AD80" s="33" t="n">
        <v>55.1</v>
      </c>
      <c r="AE80" s="33" t="n">
        <f aca="false">0.6*AD80</f>
        <v>33.06</v>
      </c>
      <c r="AF80" s="33"/>
      <c r="AG80" s="33" t="n">
        <v>0</v>
      </c>
      <c r="AH80" s="33"/>
      <c r="AI80" s="33" t="n">
        <v>8</v>
      </c>
      <c r="AJ80" s="23" t="n">
        <v>17.4</v>
      </c>
      <c r="AK80" s="33" t="n">
        <v>55.1</v>
      </c>
      <c r="AL80" s="33" t="n">
        <f aca="false">0.6*AK80</f>
        <v>33.06</v>
      </c>
      <c r="AM80" s="33"/>
      <c r="AN80" s="33" t="n">
        <v>0</v>
      </c>
      <c r="AO80" s="2" t="n">
        <v>6.17</v>
      </c>
      <c r="AP80" s="23" t="n">
        <v>17</v>
      </c>
      <c r="AQ80" s="33" t="n">
        <v>201</v>
      </c>
      <c r="AR80" s="33" t="n">
        <f aca="false">AQ80*0.5</f>
        <v>100.5</v>
      </c>
      <c r="AS80" s="33" t="n">
        <v>0</v>
      </c>
      <c r="AT80" s="33" t="n">
        <v>6.73</v>
      </c>
      <c r="AU80" s="23" t="n">
        <v>17.5</v>
      </c>
      <c r="AV80" s="33" t="n">
        <v>290</v>
      </c>
      <c r="AW80" s="33" t="n">
        <f aca="false">AV80*0.5</f>
        <v>145</v>
      </c>
      <c r="AX80" s="34" t="n">
        <v>0.62</v>
      </c>
      <c r="AY80" s="33" t="n">
        <v>0</v>
      </c>
    </row>
    <row r="81" customFormat="false" ht="15" hidden="false" customHeight="false" outlineLevel="0" collapsed="false">
      <c r="A81" s="16" t="n">
        <v>45318</v>
      </c>
      <c r="B81" s="22" t="s">
        <v>52</v>
      </c>
      <c r="C81" s="32" t="n">
        <v>8.06</v>
      </c>
      <c r="D81" s="23" t="n">
        <v>18.1</v>
      </c>
      <c r="E81" s="33" t="n">
        <v>55.6</v>
      </c>
      <c r="F81" s="33" t="n">
        <f aca="false">E81*0.6</f>
        <v>33.36</v>
      </c>
      <c r="G81" s="33" t="n">
        <v>0.29</v>
      </c>
      <c r="H81" s="33" t="n">
        <v>8.06</v>
      </c>
      <c r="I81" s="23" t="n">
        <v>18.1</v>
      </c>
      <c r="J81" s="33" t="n">
        <v>55.6</v>
      </c>
      <c r="K81" s="33" t="n">
        <f aca="false">J81*0.6</f>
        <v>33.36</v>
      </c>
      <c r="L81" s="33" t="n">
        <v>0.62</v>
      </c>
      <c r="M81" s="33" t="n">
        <v>8.06</v>
      </c>
      <c r="N81" s="23" t="n">
        <v>18.1</v>
      </c>
      <c r="O81" s="33" t="n">
        <v>55.6</v>
      </c>
      <c r="P81" s="33" t="n">
        <f aca="false">O81*0.6</f>
        <v>33.36</v>
      </c>
      <c r="Q81" s="33" t="n">
        <v>0.62</v>
      </c>
      <c r="R81" s="33" t="n">
        <v>8.05</v>
      </c>
      <c r="S81" s="23" t="n">
        <v>17.9</v>
      </c>
      <c r="T81" s="33" t="n">
        <v>55.1</v>
      </c>
      <c r="U81" s="33" t="n">
        <f aca="false">0.6*T81</f>
        <v>33.06</v>
      </c>
      <c r="V81" s="33" t="n">
        <v>0</v>
      </c>
      <c r="W81" s="33" t="n">
        <v>8.05</v>
      </c>
      <c r="X81" s="23" t="n">
        <v>17.9</v>
      </c>
      <c r="Y81" s="33" t="n">
        <v>55.1</v>
      </c>
      <c r="Z81" s="33" t="n">
        <f aca="false">0.6*Y81</f>
        <v>33.06</v>
      </c>
      <c r="AA81" s="33" t="n">
        <v>0</v>
      </c>
      <c r="AB81" s="33" t="n">
        <v>8</v>
      </c>
      <c r="AC81" s="23" t="n">
        <v>17.5</v>
      </c>
      <c r="AD81" s="33" t="n">
        <v>55.3</v>
      </c>
      <c r="AE81" s="33" t="n">
        <f aca="false">AD81*0.6</f>
        <v>33.18</v>
      </c>
      <c r="AF81" s="33"/>
      <c r="AG81" s="33" t="n">
        <v>0</v>
      </c>
      <c r="AH81" s="33"/>
      <c r="AI81" s="33" t="n">
        <v>8</v>
      </c>
      <c r="AJ81" s="23" t="n">
        <v>17.5</v>
      </c>
      <c r="AK81" s="33" t="n">
        <v>55.3</v>
      </c>
      <c r="AL81" s="33" t="n">
        <f aca="false">0.6*AK81</f>
        <v>33.18</v>
      </c>
      <c r="AM81" s="33"/>
      <c r="AN81" s="33" t="n">
        <v>0</v>
      </c>
      <c r="AO81" s="2" t="n">
        <v>6.25</v>
      </c>
      <c r="AP81" s="23" t="n">
        <v>17.9</v>
      </c>
      <c r="AQ81" s="33" t="n">
        <v>199.5</v>
      </c>
      <c r="AR81" s="35" t="n">
        <f aca="false">AQ81*0.5</f>
        <v>99.75</v>
      </c>
      <c r="AS81" s="33" t="n">
        <v>0</v>
      </c>
      <c r="AT81" s="33" t="n">
        <v>6.77</v>
      </c>
      <c r="AU81" s="23" t="n">
        <v>18.6</v>
      </c>
      <c r="AV81" s="33" t="n">
        <v>271</v>
      </c>
      <c r="AW81" s="35" t="n">
        <f aca="false">AV81*0.5</f>
        <v>135.5</v>
      </c>
      <c r="AX81" s="34"/>
      <c r="AY81" s="33" t="n">
        <v>0</v>
      </c>
    </row>
    <row r="82" customFormat="false" ht="15" hidden="false" customHeight="false" outlineLevel="0" collapsed="false">
      <c r="A82" s="16" t="n">
        <v>45318</v>
      </c>
      <c r="B82" s="22" t="s">
        <v>53</v>
      </c>
      <c r="C82" s="32" t="n">
        <v>8.06</v>
      </c>
      <c r="D82" s="23" t="n">
        <v>18.8</v>
      </c>
      <c r="E82" s="33" t="n">
        <v>55.5</v>
      </c>
      <c r="F82" s="33" t="n">
        <f aca="false">E82*0.6</f>
        <v>33.3</v>
      </c>
      <c r="G82" s="33" t="n">
        <v>0.43</v>
      </c>
      <c r="H82" s="33" t="n">
        <v>8.06</v>
      </c>
      <c r="I82" s="23" t="n">
        <v>18.8</v>
      </c>
      <c r="J82" s="33" t="n">
        <v>55.5</v>
      </c>
      <c r="K82" s="33" t="n">
        <f aca="false">J82*0.6</f>
        <v>33.3</v>
      </c>
      <c r="L82" s="33" t="n">
        <v>0.69</v>
      </c>
      <c r="M82" s="33" t="n">
        <v>8.06</v>
      </c>
      <c r="N82" s="23" t="n">
        <v>18.8</v>
      </c>
      <c r="O82" s="33" t="n">
        <v>55.5</v>
      </c>
      <c r="P82" s="33" t="n">
        <f aca="false">O82*0.6</f>
        <v>33.3</v>
      </c>
      <c r="Q82" s="33" t="n">
        <v>0.69</v>
      </c>
      <c r="R82" s="33" t="n">
        <v>8.05</v>
      </c>
      <c r="S82" s="23" t="n">
        <v>17.9</v>
      </c>
      <c r="T82" s="33" t="n">
        <v>55.2</v>
      </c>
      <c r="U82" s="33" t="n">
        <f aca="false">T82*0.6</f>
        <v>33.12</v>
      </c>
      <c r="V82" s="33" t="n">
        <v>0</v>
      </c>
      <c r="W82" s="33" t="n">
        <v>8.05</v>
      </c>
      <c r="X82" s="23" t="n">
        <v>17.9</v>
      </c>
      <c r="Y82" s="33" t="n">
        <v>55.2</v>
      </c>
      <c r="Z82" s="33" t="n">
        <f aca="false">Y82*0.6</f>
        <v>33.12</v>
      </c>
      <c r="AA82" s="33" t="n">
        <v>0</v>
      </c>
      <c r="AB82" s="33" t="n">
        <v>8</v>
      </c>
      <c r="AC82" s="23" t="n">
        <v>17.5</v>
      </c>
      <c r="AD82" s="33" t="n">
        <v>55.1</v>
      </c>
      <c r="AE82" s="33" t="n">
        <f aca="false">AD82*0.6</f>
        <v>33.06</v>
      </c>
      <c r="AF82" s="33"/>
      <c r="AG82" s="33" t="n">
        <v>0</v>
      </c>
      <c r="AH82" s="38"/>
      <c r="AI82" s="33" t="n">
        <v>8</v>
      </c>
      <c r="AJ82" s="23" t="n">
        <v>17.5</v>
      </c>
      <c r="AK82" s="33" t="n">
        <v>55.1</v>
      </c>
      <c r="AL82" s="33" t="n">
        <f aca="false">AK82*0.6</f>
        <v>33.06</v>
      </c>
      <c r="AM82" s="33"/>
      <c r="AN82" s="33" t="n">
        <v>0</v>
      </c>
      <c r="AO82" s="2" t="n">
        <v>6.18</v>
      </c>
      <c r="AP82" s="23" t="n">
        <v>17.9</v>
      </c>
      <c r="AQ82" s="33" t="n">
        <v>197.9</v>
      </c>
      <c r="AR82" s="35" t="n">
        <f aca="false">AQ82*0.5</f>
        <v>98.95</v>
      </c>
      <c r="AS82" s="33" t="n">
        <v>0</v>
      </c>
      <c r="AT82" s="33" t="n">
        <v>7.02</v>
      </c>
      <c r="AU82" s="23" t="n">
        <v>18.7</v>
      </c>
      <c r="AV82" s="33" t="n">
        <v>283</v>
      </c>
      <c r="AW82" s="35" t="n">
        <f aca="false">AV82*0.5</f>
        <v>141.5</v>
      </c>
      <c r="AX82" s="34" t="n">
        <v>1.02</v>
      </c>
      <c r="AY82" s="33" t="n">
        <v>0</v>
      </c>
    </row>
    <row r="83" customFormat="false" ht="15" hidden="false" customHeight="false" outlineLevel="0" collapsed="false">
      <c r="A83" s="16" t="n">
        <v>45319</v>
      </c>
      <c r="B83" s="17" t="s">
        <v>51</v>
      </c>
      <c r="C83" s="32" t="n">
        <v>8.07</v>
      </c>
      <c r="D83" s="23" t="n">
        <v>16.7</v>
      </c>
      <c r="E83" s="33" t="n">
        <v>55.3</v>
      </c>
      <c r="F83" s="33" t="n">
        <f aca="false">E83*0.6</f>
        <v>33.18</v>
      </c>
      <c r="G83" s="33" t="n">
        <v>0.79</v>
      </c>
      <c r="H83" s="33" t="n">
        <v>8.07</v>
      </c>
      <c r="I83" s="23" t="n">
        <v>16.7</v>
      </c>
      <c r="J83" s="33" t="n">
        <v>55.3</v>
      </c>
      <c r="K83" s="33" t="n">
        <f aca="false">J83*0.6</f>
        <v>33.18</v>
      </c>
      <c r="L83" s="33" t="n">
        <v>0.74</v>
      </c>
      <c r="M83" s="33" t="n">
        <v>8.07</v>
      </c>
      <c r="N83" s="23" t="n">
        <v>16.7</v>
      </c>
      <c r="O83" s="33" t="n">
        <v>55.3</v>
      </c>
      <c r="P83" s="33" t="n">
        <f aca="false">O83*0.6</f>
        <v>33.18</v>
      </c>
      <c r="Q83" s="33" t="n">
        <v>0.74</v>
      </c>
      <c r="R83" s="33" t="n">
        <v>8.05</v>
      </c>
      <c r="S83" s="23" t="n">
        <v>17</v>
      </c>
      <c r="T83" s="33" t="n">
        <v>55.1</v>
      </c>
      <c r="U83" s="33" t="n">
        <f aca="false">0.6*T83</f>
        <v>33.06</v>
      </c>
      <c r="V83" s="33" t="n">
        <v>0</v>
      </c>
      <c r="W83" s="33" t="n">
        <v>8.05</v>
      </c>
      <c r="X83" s="23" t="n">
        <v>17</v>
      </c>
      <c r="Y83" s="33" t="n">
        <v>55.1</v>
      </c>
      <c r="Z83" s="33" t="n">
        <f aca="false">0.6*Y83</f>
        <v>33.06</v>
      </c>
      <c r="AA83" s="33" t="n">
        <v>0</v>
      </c>
      <c r="AB83" s="33" t="n">
        <v>8</v>
      </c>
      <c r="AC83" s="23" t="n">
        <v>17.2</v>
      </c>
      <c r="AD83" s="33" t="n">
        <v>55.1</v>
      </c>
      <c r="AE83" s="33" t="n">
        <f aca="false">0.6*AD83</f>
        <v>33.06</v>
      </c>
      <c r="AF83" s="33"/>
      <c r="AG83" s="33" t="n">
        <v>0</v>
      </c>
      <c r="AH83" s="33"/>
      <c r="AI83" s="33" t="n">
        <v>8</v>
      </c>
      <c r="AJ83" s="23" t="n">
        <v>17.2</v>
      </c>
      <c r="AK83" s="33" t="n">
        <v>55.1</v>
      </c>
      <c r="AL83" s="33" t="n">
        <f aca="false">0.6*AK83</f>
        <v>33.06</v>
      </c>
      <c r="AM83" s="33"/>
      <c r="AN83" s="33" t="n">
        <v>0</v>
      </c>
      <c r="AO83" s="2" t="n">
        <v>6.73</v>
      </c>
      <c r="AP83" s="23" t="n">
        <v>17.6</v>
      </c>
      <c r="AQ83" s="33" t="n">
        <v>222</v>
      </c>
      <c r="AR83" s="33" t="n">
        <f aca="false">AQ83*0.5</f>
        <v>111</v>
      </c>
      <c r="AS83" s="33" t="n">
        <v>0</v>
      </c>
      <c r="AT83" s="33" t="n">
        <v>7</v>
      </c>
      <c r="AU83" s="23" t="n">
        <v>18.6</v>
      </c>
      <c r="AV83" s="33" t="n">
        <v>333</v>
      </c>
      <c r="AW83" s="33" t="n">
        <f aca="false">AV83*0.5</f>
        <v>166.5</v>
      </c>
      <c r="AX83" s="34" t="n">
        <v>0.88</v>
      </c>
      <c r="AY83" s="33" t="n">
        <v>0</v>
      </c>
    </row>
    <row r="84" customFormat="false" ht="15" hidden="false" customHeight="false" outlineLevel="0" collapsed="false">
      <c r="A84" s="16" t="n">
        <v>45319</v>
      </c>
      <c r="B84" s="22" t="s">
        <v>52</v>
      </c>
      <c r="C84" s="32" t="n">
        <v>8.08</v>
      </c>
      <c r="D84" s="23" t="n">
        <v>17.2</v>
      </c>
      <c r="E84" s="33" t="n">
        <v>55.1</v>
      </c>
      <c r="F84" s="33" t="n">
        <f aca="false">E84*0.6</f>
        <v>33.06</v>
      </c>
      <c r="G84" s="33" t="n">
        <v>0.32</v>
      </c>
      <c r="H84" s="33" t="n">
        <v>8.08</v>
      </c>
      <c r="I84" s="23" t="n">
        <v>17.2</v>
      </c>
      <c r="J84" s="33" t="n">
        <v>55.1</v>
      </c>
      <c r="K84" s="33" t="n">
        <f aca="false">J84*0.6</f>
        <v>33.06</v>
      </c>
      <c r="L84" s="33" t="n">
        <v>0.35</v>
      </c>
      <c r="M84" s="33" t="n">
        <v>8.08</v>
      </c>
      <c r="N84" s="23" t="n">
        <v>17.2</v>
      </c>
      <c r="O84" s="33" t="n">
        <v>55.1</v>
      </c>
      <c r="P84" s="33" t="n">
        <f aca="false">O84*0.6</f>
        <v>33.06</v>
      </c>
      <c r="Q84" s="33" t="n">
        <v>0.35</v>
      </c>
      <c r="R84" s="33" t="n">
        <v>8.01</v>
      </c>
      <c r="S84" s="23" t="n">
        <v>16.9</v>
      </c>
      <c r="T84" s="33" t="n">
        <v>55.1</v>
      </c>
      <c r="U84" s="33" t="n">
        <f aca="false">0.6*T84</f>
        <v>33.06</v>
      </c>
      <c r="V84" s="33" t="n">
        <v>0</v>
      </c>
      <c r="W84" s="33" t="n">
        <v>8.01</v>
      </c>
      <c r="X84" s="23" t="n">
        <v>16.9</v>
      </c>
      <c r="Y84" s="33" t="n">
        <v>55.1</v>
      </c>
      <c r="Z84" s="33" t="n">
        <f aca="false">0.6*Y84</f>
        <v>33.06</v>
      </c>
      <c r="AA84" s="33" t="n">
        <v>0</v>
      </c>
      <c r="AB84" s="33" t="n">
        <v>8</v>
      </c>
      <c r="AC84" s="23" t="n">
        <v>16.7</v>
      </c>
      <c r="AD84" s="33" t="n">
        <v>55.2</v>
      </c>
      <c r="AE84" s="33" t="n">
        <f aca="false">AD84*0.6</f>
        <v>33.12</v>
      </c>
      <c r="AF84" s="33"/>
      <c r="AG84" s="33" t="n">
        <v>0</v>
      </c>
      <c r="AH84" s="33"/>
      <c r="AI84" s="33" t="n">
        <v>8</v>
      </c>
      <c r="AJ84" s="23" t="n">
        <v>16.7</v>
      </c>
      <c r="AK84" s="33" t="n">
        <v>55.2</v>
      </c>
      <c r="AL84" s="33" t="n">
        <f aca="false">0.6*AK84</f>
        <v>33.12</v>
      </c>
      <c r="AM84" s="33"/>
      <c r="AN84" s="33" t="n">
        <v>0</v>
      </c>
      <c r="AO84" s="2" t="n">
        <v>5.75</v>
      </c>
      <c r="AP84" s="23" t="n">
        <v>17.3</v>
      </c>
      <c r="AQ84" s="33" t="n">
        <v>206</v>
      </c>
      <c r="AR84" s="35" t="n">
        <f aca="false">AQ84*0.5</f>
        <v>103</v>
      </c>
      <c r="AS84" s="33" t="n">
        <v>0</v>
      </c>
      <c r="AT84" s="33" t="n">
        <v>6.85</v>
      </c>
      <c r="AU84" s="23" t="n">
        <v>17.7</v>
      </c>
      <c r="AV84" s="33" t="n">
        <v>264</v>
      </c>
      <c r="AW84" s="35" t="n">
        <f aca="false">AV84*0.5</f>
        <v>132</v>
      </c>
      <c r="AX84" s="34" t="n">
        <v>1.06</v>
      </c>
      <c r="AY84" s="33" t="n">
        <v>0</v>
      </c>
    </row>
    <row r="85" customFormat="false" ht="15" hidden="false" customHeight="false" outlineLevel="0" collapsed="false">
      <c r="A85" s="16" t="n">
        <v>45319</v>
      </c>
      <c r="B85" s="22" t="s">
        <v>53</v>
      </c>
      <c r="C85" s="32" t="n">
        <v>8.08</v>
      </c>
      <c r="D85" s="23" t="n">
        <v>16.8</v>
      </c>
      <c r="E85" s="33" t="n">
        <v>55.3</v>
      </c>
      <c r="F85" s="33" t="n">
        <f aca="false">E85*0.6</f>
        <v>33.18</v>
      </c>
      <c r="G85" s="33" t="n">
        <v>0.19</v>
      </c>
      <c r="H85" s="33" t="n">
        <v>8.08</v>
      </c>
      <c r="I85" s="23" t="n">
        <v>16.8</v>
      </c>
      <c r="J85" s="33" t="n">
        <v>55.3</v>
      </c>
      <c r="K85" s="33" t="n">
        <f aca="false">J85*0.6</f>
        <v>33.18</v>
      </c>
      <c r="L85" s="33" t="n">
        <v>0.26</v>
      </c>
      <c r="M85" s="33" t="n">
        <v>8.08</v>
      </c>
      <c r="N85" s="23" t="n">
        <v>16.8</v>
      </c>
      <c r="O85" s="33" t="n">
        <v>55.3</v>
      </c>
      <c r="P85" s="33" t="n">
        <f aca="false">O85*0.6</f>
        <v>33.18</v>
      </c>
      <c r="Q85" s="33" t="n">
        <v>0.26</v>
      </c>
      <c r="R85" s="33" t="n">
        <v>8.05</v>
      </c>
      <c r="S85" s="23" t="n">
        <v>17.3</v>
      </c>
      <c r="T85" s="33" t="n">
        <v>55.2</v>
      </c>
      <c r="U85" s="33" t="n">
        <f aca="false">T85*0.6</f>
        <v>33.12</v>
      </c>
      <c r="V85" s="33" t="n">
        <v>0</v>
      </c>
      <c r="W85" s="33" t="n">
        <v>8.05</v>
      </c>
      <c r="X85" s="23" t="n">
        <v>17.3</v>
      </c>
      <c r="Y85" s="33" t="n">
        <v>55.2</v>
      </c>
      <c r="Z85" s="33" t="n">
        <f aca="false">Y85*0.6</f>
        <v>33.12</v>
      </c>
      <c r="AA85" s="33" t="n">
        <v>0</v>
      </c>
      <c r="AB85" s="33" t="n">
        <v>8</v>
      </c>
      <c r="AC85" s="23" t="n">
        <v>17.5</v>
      </c>
      <c r="AD85" s="33" t="n">
        <v>55.1</v>
      </c>
      <c r="AE85" s="33" t="n">
        <f aca="false">AD85*0.6</f>
        <v>33.06</v>
      </c>
      <c r="AF85" s="33"/>
      <c r="AG85" s="33" t="n">
        <v>0</v>
      </c>
      <c r="AH85" s="38"/>
      <c r="AI85" s="33" t="n">
        <v>8</v>
      </c>
      <c r="AJ85" s="23" t="n">
        <v>17.5</v>
      </c>
      <c r="AK85" s="33" t="n">
        <v>55.1</v>
      </c>
      <c r="AL85" s="33" t="n">
        <f aca="false">AK85*0.6</f>
        <v>33.06</v>
      </c>
      <c r="AM85" s="33"/>
      <c r="AN85" s="33" t="n">
        <v>0</v>
      </c>
      <c r="AO85" s="2" t="n">
        <v>6.08</v>
      </c>
      <c r="AP85" s="23" t="n">
        <v>17.6</v>
      </c>
      <c r="AQ85" s="33" t="n">
        <v>164.3</v>
      </c>
      <c r="AR85" s="35" t="n">
        <f aca="false">AQ85*0.5</f>
        <v>82.15</v>
      </c>
      <c r="AS85" s="33" t="n">
        <v>0</v>
      </c>
      <c r="AT85" s="33" t="n">
        <v>6.77</v>
      </c>
      <c r="AU85" s="23" t="n">
        <v>17.9</v>
      </c>
      <c r="AV85" s="33" t="n">
        <v>267</v>
      </c>
      <c r="AW85" s="35" t="n">
        <f aca="false">AV85*0.5</f>
        <v>133.5</v>
      </c>
      <c r="AX85" s="34"/>
      <c r="AY85" s="33" t="n">
        <v>0</v>
      </c>
    </row>
    <row r="86" customFormat="false" ht="15" hidden="false" customHeight="false" outlineLevel="0" collapsed="false">
      <c r="A86" s="16" t="n">
        <v>45320</v>
      </c>
      <c r="B86" s="17" t="s">
        <v>51</v>
      </c>
      <c r="C86" s="29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</row>
    <row r="87" customFormat="false" ht="15" hidden="false" customHeight="false" outlineLevel="0" collapsed="false">
      <c r="A87" s="16" t="n">
        <v>45320</v>
      </c>
      <c r="B87" s="22" t="s">
        <v>52</v>
      </c>
      <c r="C87" s="29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</row>
    <row r="88" customFormat="false" ht="15" hidden="false" customHeight="false" outlineLevel="0" collapsed="false">
      <c r="A88" s="16" t="n">
        <v>45320</v>
      </c>
      <c r="B88" s="22" t="s">
        <v>53</v>
      </c>
      <c r="C88" s="29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</row>
    <row r="89" customFormat="false" ht="15" hidden="false" customHeight="false" outlineLevel="0" collapsed="false">
      <c r="A89" s="16" t="n">
        <v>45321</v>
      </c>
      <c r="B89" s="17" t="s">
        <v>51</v>
      </c>
      <c r="C89" s="29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</row>
    <row r="90" customFormat="false" ht="15" hidden="false" customHeight="false" outlineLevel="0" collapsed="false">
      <c r="A90" s="16" t="n">
        <v>45321</v>
      </c>
      <c r="B90" s="22" t="s">
        <v>52</v>
      </c>
      <c r="C90" s="29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</row>
    <row r="91" customFormat="false" ht="15" hidden="false" customHeight="false" outlineLevel="0" collapsed="false">
      <c r="A91" s="16" t="n">
        <v>45321</v>
      </c>
      <c r="B91" s="22" t="s">
        <v>53</v>
      </c>
      <c r="C91" s="29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</row>
    <row r="92" customFormat="false" ht="15" hidden="false" customHeight="false" outlineLevel="0" collapsed="false">
      <c r="A92" s="16" t="n">
        <v>45322</v>
      </c>
      <c r="B92" s="17" t="s">
        <v>51</v>
      </c>
      <c r="C92" s="32" t="n">
        <v>8.08</v>
      </c>
      <c r="D92" s="23" t="n">
        <v>17</v>
      </c>
      <c r="E92" s="33" t="n">
        <v>55.2</v>
      </c>
      <c r="F92" s="33" t="n">
        <f aca="false">E92*0.6</f>
        <v>33.12</v>
      </c>
      <c r="G92" s="33" t="n">
        <v>0.57</v>
      </c>
      <c r="H92" s="33" t="n">
        <v>8.07</v>
      </c>
      <c r="I92" s="23" t="n">
        <v>17.2</v>
      </c>
      <c r="J92" s="33" t="n">
        <v>55.2</v>
      </c>
      <c r="K92" s="33" t="n">
        <f aca="false">J92*0.6</f>
        <v>33.12</v>
      </c>
      <c r="L92" s="33" t="n">
        <v>0.43</v>
      </c>
      <c r="M92" s="33" t="n">
        <v>8.07</v>
      </c>
      <c r="N92" s="23" t="n">
        <v>17.2</v>
      </c>
      <c r="O92" s="33" t="n">
        <v>55.2</v>
      </c>
      <c r="P92" s="33" t="n">
        <f aca="false">O92*0.6</f>
        <v>33.12</v>
      </c>
      <c r="Q92" s="33" t="n">
        <v>0.43</v>
      </c>
      <c r="R92" s="33" t="n">
        <v>8.05</v>
      </c>
      <c r="S92" s="23" t="n">
        <v>17.6</v>
      </c>
      <c r="T92" s="33" t="n">
        <v>55.1</v>
      </c>
      <c r="U92" s="33" t="n">
        <f aca="false">0.6*T92</f>
        <v>33.06</v>
      </c>
      <c r="V92" s="33" t="n">
        <v>0</v>
      </c>
      <c r="W92" s="33" t="n">
        <v>8.05</v>
      </c>
      <c r="X92" s="23" t="n">
        <v>17.6</v>
      </c>
      <c r="Y92" s="33" t="n">
        <v>55.1</v>
      </c>
      <c r="Z92" s="33" t="n">
        <f aca="false">0.6*Y92</f>
        <v>33.06</v>
      </c>
      <c r="AA92" s="33" t="n">
        <v>0</v>
      </c>
      <c r="AB92" s="33" t="n">
        <v>8</v>
      </c>
      <c r="AC92" s="23" t="n">
        <v>17.4</v>
      </c>
      <c r="AD92" s="33" t="n">
        <v>55.1</v>
      </c>
      <c r="AE92" s="33" t="n">
        <f aca="false">0.6*AD92</f>
        <v>33.06</v>
      </c>
      <c r="AF92" s="33"/>
      <c r="AG92" s="33" t="n">
        <v>0</v>
      </c>
      <c r="AH92" s="33"/>
      <c r="AI92" s="33" t="n">
        <v>8</v>
      </c>
      <c r="AJ92" s="23" t="n">
        <v>17.4</v>
      </c>
      <c r="AK92" s="33" t="n">
        <v>55.1</v>
      </c>
      <c r="AL92" s="33" t="n">
        <f aca="false">0.6*AK92</f>
        <v>33.06</v>
      </c>
      <c r="AM92" s="33"/>
      <c r="AN92" s="33" t="n">
        <v>0</v>
      </c>
      <c r="AO92" s="2" t="n">
        <v>6.17</v>
      </c>
      <c r="AP92" s="23" t="n">
        <v>16.9</v>
      </c>
      <c r="AQ92" s="33" t="n">
        <v>206</v>
      </c>
      <c r="AR92" s="33" t="n">
        <f aca="false">AQ92*0.5</f>
        <v>103</v>
      </c>
      <c r="AS92" s="33" t="n">
        <v>0</v>
      </c>
      <c r="AT92" s="33" t="n">
        <v>6.85</v>
      </c>
      <c r="AU92" s="23" t="n">
        <v>17</v>
      </c>
      <c r="AV92" s="33" t="n">
        <v>280</v>
      </c>
      <c r="AW92" s="33" t="n">
        <f aca="false">AV92*0.5</f>
        <v>140</v>
      </c>
      <c r="AX92" s="34" t="n">
        <v>1.03</v>
      </c>
      <c r="AY92" s="33" t="n">
        <v>0</v>
      </c>
    </row>
    <row r="93" customFormat="false" ht="15" hidden="false" customHeight="false" outlineLevel="0" collapsed="false">
      <c r="A93" s="16" t="n">
        <v>45322</v>
      </c>
      <c r="B93" s="22" t="s">
        <v>52</v>
      </c>
      <c r="C93" s="32" t="n">
        <v>8.07</v>
      </c>
      <c r="D93" s="23" t="n">
        <v>16.6</v>
      </c>
      <c r="E93" s="33" t="n">
        <v>55.2</v>
      </c>
      <c r="F93" s="33" t="n">
        <f aca="false">E93*0.6</f>
        <v>33.12</v>
      </c>
      <c r="G93" s="33" t="n">
        <v>0.77</v>
      </c>
      <c r="H93" s="33" t="n">
        <v>8.07</v>
      </c>
      <c r="I93" s="23" t="n">
        <v>16.6</v>
      </c>
      <c r="J93" s="33" t="n">
        <v>55.2</v>
      </c>
      <c r="K93" s="33" t="n">
        <f aca="false">J93*0.6</f>
        <v>33.12</v>
      </c>
      <c r="L93" s="33" t="n">
        <v>0.54</v>
      </c>
      <c r="M93" s="33" t="n">
        <v>8.07</v>
      </c>
      <c r="N93" s="23" t="n">
        <v>16.6</v>
      </c>
      <c r="O93" s="33" t="n">
        <v>55.2</v>
      </c>
      <c r="P93" s="33" t="n">
        <f aca="false">O93*0.6</f>
        <v>33.12</v>
      </c>
      <c r="Q93" s="33" t="n">
        <v>0.54</v>
      </c>
      <c r="R93" s="33" t="n">
        <v>8.07</v>
      </c>
      <c r="S93" s="23" t="n">
        <v>16.7</v>
      </c>
      <c r="T93" s="33" t="n">
        <v>55.2</v>
      </c>
      <c r="U93" s="33" t="n">
        <f aca="false">0.6*T93</f>
        <v>33.12</v>
      </c>
      <c r="V93" s="33" t="n">
        <v>0</v>
      </c>
      <c r="W93" s="33" t="n">
        <v>8.07</v>
      </c>
      <c r="X93" s="23" t="n">
        <v>16.7</v>
      </c>
      <c r="Y93" s="33" t="n">
        <v>55.2</v>
      </c>
      <c r="Z93" s="33" t="n">
        <f aca="false">0.6*Y93</f>
        <v>33.12</v>
      </c>
      <c r="AA93" s="33" t="n">
        <v>0</v>
      </c>
      <c r="AB93" s="33" t="n">
        <v>8.05</v>
      </c>
      <c r="AC93" s="23" t="n">
        <v>16.8</v>
      </c>
      <c r="AD93" s="33" t="n">
        <v>55.4</v>
      </c>
      <c r="AE93" s="33" t="n">
        <f aca="false">AD93*0.6</f>
        <v>33.24</v>
      </c>
      <c r="AF93" s="33"/>
      <c r="AG93" s="33" t="n">
        <v>0</v>
      </c>
      <c r="AH93" s="33"/>
      <c r="AI93" s="33" t="n">
        <v>8.05</v>
      </c>
      <c r="AJ93" s="23" t="n">
        <v>16.8</v>
      </c>
      <c r="AK93" s="33" t="n">
        <v>55.4</v>
      </c>
      <c r="AL93" s="33" t="n">
        <f aca="false">AK93*0.6</f>
        <v>33.24</v>
      </c>
      <c r="AM93" s="33"/>
      <c r="AN93" s="33" t="n">
        <v>0</v>
      </c>
      <c r="AO93" s="2" t="n">
        <v>6.19</v>
      </c>
      <c r="AP93" s="23" t="n">
        <v>17</v>
      </c>
      <c r="AQ93" s="33" t="n">
        <v>206</v>
      </c>
      <c r="AR93" s="35" t="n">
        <f aca="false">AQ93*0.5</f>
        <v>103</v>
      </c>
      <c r="AS93" s="33" t="n">
        <v>0</v>
      </c>
      <c r="AT93" s="33" t="n">
        <v>6.92</v>
      </c>
      <c r="AU93" s="23" t="n">
        <v>17.6</v>
      </c>
      <c r="AV93" s="33" t="n">
        <v>274</v>
      </c>
      <c r="AW93" s="35" t="n">
        <f aca="false">AV93*0.5</f>
        <v>137</v>
      </c>
      <c r="AX93" s="34"/>
      <c r="AY93" s="33" t="n">
        <v>0</v>
      </c>
    </row>
    <row r="94" customFormat="false" ht="15" hidden="false" customHeight="false" outlineLevel="0" collapsed="false">
      <c r="A94" s="16" t="n">
        <v>45322</v>
      </c>
      <c r="B94" s="22" t="s">
        <v>53</v>
      </c>
      <c r="C94" s="32" t="n">
        <v>8.13</v>
      </c>
      <c r="D94" s="23" t="n">
        <v>17.7</v>
      </c>
      <c r="E94" s="33" t="n">
        <v>55.2</v>
      </c>
      <c r="F94" s="33" t="n">
        <f aca="false">E94*0.6</f>
        <v>33.12</v>
      </c>
      <c r="G94" s="33" t="n">
        <v>0.42</v>
      </c>
      <c r="H94" s="33" t="n">
        <v>8.1</v>
      </c>
      <c r="I94" s="23" t="n">
        <v>17.8</v>
      </c>
      <c r="J94" s="33" t="n">
        <v>55.2</v>
      </c>
      <c r="K94" s="33" t="n">
        <f aca="false">J94*0.6</f>
        <v>33.12</v>
      </c>
      <c r="L94" s="33" t="n">
        <v>0.42</v>
      </c>
      <c r="M94" s="33" t="n">
        <v>8.1</v>
      </c>
      <c r="N94" s="23" t="n">
        <v>17.8</v>
      </c>
      <c r="O94" s="33" t="n">
        <v>55.2</v>
      </c>
      <c r="P94" s="33" t="n">
        <f aca="false">O94*0.6</f>
        <v>33.12</v>
      </c>
      <c r="Q94" s="33" t="n">
        <v>0.42</v>
      </c>
      <c r="R94" s="33" t="n">
        <v>8.09</v>
      </c>
      <c r="S94" s="23" t="n">
        <v>17.9</v>
      </c>
      <c r="T94" s="33" t="n">
        <v>55.2</v>
      </c>
      <c r="U94" s="33" t="n">
        <f aca="false">T94*0.6</f>
        <v>33.12</v>
      </c>
      <c r="V94" s="33" t="n">
        <v>0</v>
      </c>
      <c r="W94" s="33" t="n">
        <v>8.09</v>
      </c>
      <c r="X94" s="23" t="n">
        <v>17.9</v>
      </c>
      <c r="Y94" s="33" t="n">
        <v>55.2</v>
      </c>
      <c r="Z94" s="33" t="n">
        <f aca="false">Y94*0.6</f>
        <v>33.12</v>
      </c>
      <c r="AA94" s="33" t="n">
        <v>0</v>
      </c>
      <c r="AB94" s="33" t="n">
        <v>8.07</v>
      </c>
      <c r="AC94" s="23" t="n">
        <v>18</v>
      </c>
      <c r="AD94" s="33" t="n">
        <v>55.1</v>
      </c>
      <c r="AE94" s="33" t="n">
        <f aca="false">AD94*0.6</f>
        <v>33.06</v>
      </c>
      <c r="AF94" s="33"/>
      <c r="AG94" s="33" t="n">
        <v>0</v>
      </c>
      <c r="AH94" s="38"/>
      <c r="AI94" s="33" t="n">
        <v>8.07</v>
      </c>
      <c r="AJ94" s="23" t="n">
        <v>18</v>
      </c>
      <c r="AK94" s="33" t="n">
        <v>55.1</v>
      </c>
      <c r="AL94" s="33" t="n">
        <f aca="false">AK94*0.6</f>
        <v>33.06</v>
      </c>
      <c r="AM94" s="33"/>
      <c r="AN94" s="33" t="n">
        <v>0</v>
      </c>
      <c r="AO94" s="2" t="n">
        <v>6.16</v>
      </c>
      <c r="AP94" s="23" t="n">
        <v>17.2</v>
      </c>
      <c r="AQ94" s="33" t="n">
        <v>192</v>
      </c>
      <c r="AR94" s="35" t="n">
        <f aca="false">AQ94*0.5</f>
        <v>96</v>
      </c>
      <c r="AS94" s="33" t="n">
        <v>0</v>
      </c>
      <c r="AT94" s="33" t="n">
        <v>6.95</v>
      </c>
      <c r="AU94" s="23" t="n">
        <v>17.6</v>
      </c>
      <c r="AV94" s="33" t="n">
        <v>275</v>
      </c>
      <c r="AW94" s="35" t="n">
        <f aca="false">AV94*0.5</f>
        <v>137.5</v>
      </c>
      <c r="AX94" s="34" t="n">
        <v>0.92</v>
      </c>
      <c r="AY94" s="33" t="n">
        <v>0</v>
      </c>
    </row>
    <row r="95" customFormat="false" ht="15" hidden="false" customHeight="false" outlineLevel="0" collapsed="false">
      <c r="A95" s="16" t="n">
        <v>45293</v>
      </c>
      <c r="B95" s="2" t="s">
        <v>51</v>
      </c>
      <c r="C95" s="39" t="n">
        <v>8.02</v>
      </c>
      <c r="D95" s="40" t="n">
        <v>16.9</v>
      </c>
      <c r="E95" s="41" t="n">
        <v>55</v>
      </c>
      <c r="F95" s="41" t="n">
        <f aca="false">E95*0.6</f>
        <v>33</v>
      </c>
      <c r="G95" s="41" t="n">
        <v>0.87</v>
      </c>
      <c r="H95" s="41" t="n">
        <v>8.01</v>
      </c>
      <c r="I95" s="40" t="n">
        <v>17</v>
      </c>
      <c r="J95" s="41" t="n">
        <v>55</v>
      </c>
      <c r="K95" s="41" t="n">
        <f aca="false">J95*0.6</f>
        <v>33</v>
      </c>
      <c r="L95" s="41" t="n">
        <v>0.67</v>
      </c>
      <c r="M95" s="41" t="n">
        <v>8.05</v>
      </c>
      <c r="N95" s="40" t="n">
        <v>16.8</v>
      </c>
      <c r="O95" s="41" t="n">
        <v>55.2</v>
      </c>
      <c r="P95" s="41" t="n">
        <f aca="false">O95*0.6</f>
        <v>33.12</v>
      </c>
      <c r="Q95" s="41" t="n">
        <v>0.45</v>
      </c>
      <c r="R95" s="41" t="n">
        <v>8</v>
      </c>
      <c r="S95" s="40" t="n">
        <v>17.2</v>
      </c>
      <c r="T95" s="41" t="n">
        <v>55</v>
      </c>
      <c r="U95" s="41" t="n">
        <f aca="false">0.6*T95</f>
        <v>33</v>
      </c>
      <c r="V95" s="41" t="n">
        <v>0</v>
      </c>
      <c r="W95" s="41" t="n">
        <v>8.04</v>
      </c>
      <c r="X95" s="40" t="n">
        <v>16.7</v>
      </c>
      <c r="Y95" s="41" t="n">
        <v>55.2</v>
      </c>
      <c r="Z95" s="41" t="n">
        <f aca="false">0.6*Y95</f>
        <v>33.12</v>
      </c>
      <c r="AA95" s="41" t="n">
        <v>0</v>
      </c>
      <c r="AB95" s="41" t="n">
        <v>7.99</v>
      </c>
      <c r="AC95" s="40" t="n">
        <v>17.1</v>
      </c>
      <c r="AD95" s="41" t="n">
        <v>55</v>
      </c>
      <c r="AE95" s="41" t="n">
        <f aca="false">0.6*AD95</f>
        <v>33</v>
      </c>
      <c r="AF95" s="41"/>
      <c r="AG95" s="41" t="n">
        <v>0</v>
      </c>
      <c r="AH95" s="42"/>
      <c r="AI95" s="41" t="n">
        <v>8.01</v>
      </c>
      <c r="AJ95" s="40" t="n">
        <v>16.7</v>
      </c>
      <c r="AK95" s="41" t="n">
        <v>55.4</v>
      </c>
      <c r="AL95" s="41" t="n">
        <f aca="false">AK95*0.6</f>
        <v>33.24</v>
      </c>
      <c r="AM95" s="41"/>
      <c r="AN95" s="41" t="n">
        <v>0</v>
      </c>
      <c r="AO95" s="2" t="n">
        <v>6.37</v>
      </c>
      <c r="AP95" s="40" t="n">
        <v>17.3</v>
      </c>
      <c r="AQ95" s="41" t="n">
        <v>215</v>
      </c>
      <c r="AR95" s="41" t="n">
        <f aca="false">AQ95*0.5</f>
        <v>107.5</v>
      </c>
      <c r="AS95" s="41" t="n">
        <v>0</v>
      </c>
      <c r="AT95" s="41" t="n">
        <v>6.78</v>
      </c>
      <c r="AU95" s="40" t="n">
        <v>17.5</v>
      </c>
      <c r="AV95" s="41" t="n">
        <v>271</v>
      </c>
      <c r="AW95" s="41" t="n">
        <f aca="false">AV95*0.5</f>
        <v>135.5</v>
      </c>
      <c r="AX95" s="43" t="n">
        <v>0.92</v>
      </c>
      <c r="AY95" s="41" t="n">
        <v>0</v>
      </c>
    </row>
    <row r="96" customFormat="false" ht="15" hidden="false" customHeight="false" outlineLevel="0" collapsed="false">
      <c r="A96" s="16" t="n">
        <v>45293</v>
      </c>
      <c r="B96" s="2" t="s">
        <v>52</v>
      </c>
      <c r="C96" s="39" t="n">
        <v>8.06</v>
      </c>
      <c r="D96" s="40" t="n">
        <v>17</v>
      </c>
      <c r="E96" s="41" t="n">
        <v>55.2</v>
      </c>
      <c r="F96" s="41" t="n">
        <f aca="false">E96*0.6</f>
        <v>33.12</v>
      </c>
      <c r="G96" s="41" t="n">
        <v>1.15</v>
      </c>
      <c r="H96" s="41" t="n">
        <v>8.01</v>
      </c>
      <c r="I96" s="40" t="n">
        <v>17</v>
      </c>
      <c r="J96" s="41" t="n">
        <v>55</v>
      </c>
      <c r="K96" s="41" t="n">
        <f aca="false">J96*0.6</f>
        <v>33</v>
      </c>
      <c r="L96" s="41" t="n">
        <v>0.67</v>
      </c>
      <c r="M96" s="41" t="n">
        <v>8.05</v>
      </c>
      <c r="N96" s="40" t="n">
        <v>16.8</v>
      </c>
      <c r="O96" s="41" t="n">
        <v>55.2</v>
      </c>
      <c r="P96" s="41" t="n">
        <f aca="false">O96*0.6</f>
        <v>33.12</v>
      </c>
      <c r="Q96" s="41" t="n">
        <v>0.45</v>
      </c>
      <c r="R96" s="41" t="n">
        <v>8</v>
      </c>
      <c r="S96" s="40" t="n">
        <v>17.2</v>
      </c>
      <c r="T96" s="41" t="n">
        <v>55</v>
      </c>
      <c r="U96" s="41" t="n">
        <f aca="false">0.6*T96</f>
        <v>33</v>
      </c>
      <c r="V96" s="41" t="n">
        <v>0</v>
      </c>
      <c r="W96" s="41" t="n">
        <v>8.04</v>
      </c>
      <c r="X96" s="40" t="n">
        <v>16.7</v>
      </c>
      <c r="Y96" s="41" t="n">
        <v>55.2</v>
      </c>
      <c r="Z96" s="41" t="n">
        <f aca="false">0.6*Y96</f>
        <v>33.12</v>
      </c>
      <c r="AA96" s="41" t="n">
        <v>0</v>
      </c>
      <c r="AB96" s="41" t="n">
        <v>7.99</v>
      </c>
      <c r="AC96" s="40" t="n">
        <v>17.1</v>
      </c>
      <c r="AD96" s="41" t="n">
        <v>55</v>
      </c>
      <c r="AE96" s="41" t="n">
        <f aca="false">0.6*AD96</f>
        <v>33</v>
      </c>
      <c r="AF96" s="41"/>
      <c r="AG96" s="41" t="n">
        <v>0</v>
      </c>
      <c r="AH96" s="42"/>
      <c r="AI96" s="41" t="n">
        <v>8.01</v>
      </c>
      <c r="AJ96" s="40" t="n">
        <v>16.7</v>
      </c>
      <c r="AK96" s="41" t="n">
        <v>55.4</v>
      </c>
      <c r="AL96" s="41" t="n">
        <f aca="false">AK96*0.6</f>
        <v>33.24</v>
      </c>
      <c r="AM96" s="41"/>
      <c r="AN96" s="41" t="n">
        <v>0</v>
      </c>
      <c r="AO96" s="2" t="n">
        <v>6.37</v>
      </c>
      <c r="AP96" s="40" t="n">
        <v>17.4</v>
      </c>
      <c r="AQ96" s="41" t="n">
        <v>204</v>
      </c>
      <c r="AR96" s="44" t="n">
        <f aca="false">AQ96*0.5</f>
        <v>102</v>
      </c>
      <c r="AS96" s="41" t="n">
        <v>0</v>
      </c>
      <c r="AT96" s="41" t="n">
        <v>6.94</v>
      </c>
      <c r="AU96" s="40" t="n">
        <v>17.7</v>
      </c>
      <c r="AV96" s="41" t="n">
        <v>272</v>
      </c>
      <c r="AW96" s="44" t="n">
        <f aca="false">AV96*0.5</f>
        <v>136</v>
      </c>
      <c r="AX96" s="43"/>
      <c r="AY96" s="41" t="n">
        <v>0</v>
      </c>
    </row>
    <row r="97" customFormat="false" ht="15" hidden="false" customHeight="false" outlineLevel="0" collapsed="false">
      <c r="A97" s="16" t="n">
        <v>45293</v>
      </c>
      <c r="B97" s="2" t="s">
        <v>57</v>
      </c>
      <c r="C97" s="39" t="n">
        <v>8.1</v>
      </c>
      <c r="D97" s="40" t="n">
        <v>18.2</v>
      </c>
      <c r="E97" s="41" t="n">
        <v>55.1</v>
      </c>
      <c r="F97" s="41" t="n">
        <f aca="false">E97*0.6</f>
        <v>33.06</v>
      </c>
      <c r="G97" s="41" t="n">
        <v>0.32</v>
      </c>
      <c r="H97" s="41" t="n">
        <v>8.09</v>
      </c>
      <c r="I97" s="40" t="n">
        <v>17.3</v>
      </c>
      <c r="J97" s="41" t="n">
        <v>55.2</v>
      </c>
      <c r="K97" s="41" t="n">
        <f aca="false">J97*0.6</f>
        <v>33.12</v>
      </c>
      <c r="L97" s="41" t="n">
        <v>0.71</v>
      </c>
      <c r="M97" s="41" t="n">
        <v>8.09</v>
      </c>
      <c r="N97" s="40" t="n">
        <v>17.3</v>
      </c>
      <c r="O97" s="41" t="n">
        <v>55.1</v>
      </c>
      <c r="P97" s="41" t="n">
        <f aca="false">O97*0.6</f>
        <v>33.06</v>
      </c>
      <c r="Q97" s="41" t="n">
        <v>0.71</v>
      </c>
      <c r="R97" s="41" t="n">
        <v>8.09</v>
      </c>
      <c r="S97" s="40" t="n">
        <v>17.5</v>
      </c>
      <c r="T97" s="41" t="n">
        <v>55.1</v>
      </c>
      <c r="U97" s="41" t="n">
        <f aca="false">T97*0.6</f>
        <v>33.06</v>
      </c>
      <c r="V97" s="41" t="n">
        <v>0</v>
      </c>
      <c r="W97" s="41" t="n">
        <v>8.09</v>
      </c>
      <c r="X97" s="40" t="n">
        <v>17.5</v>
      </c>
      <c r="Y97" s="41" t="n">
        <v>55.1</v>
      </c>
      <c r="Z97" s="41" t="n">
        <f aca="false">Y97*0.6</f>
        <v>33.06</v>
      </c>
      <c r="AA97" s="41" t="n">
        <v>0</v>
      </c>
      <c r="AB97" s="41" t="n">
        <v>2.25</v>
      </c>
      <c r="AC97" s="41" t="n">
        <v>8.07</v>
      </c>
      <c r="AD97" s="40" t="n">
        <v>17.6</v>
      </c>
      <c r="AE97" s="41" t="n">
        <v>55.1</v>
      </c>
      <c r="AF97" s="41" t="n">
        <f aca="false">AE97*0.6</f>
        <v>33.06</v>
      </c>
      <c r="AG97" s="41" t="s">
        <v>58</v>
      </c>
      <c r="AH97" s="41" t="n">
        <v>0</v>
      </c>
      <c r="AI97" s="43" t="n">
        <v>2.19</v>
      </c>
      <c r="AJ97" s="41" t="n">
        <v>8.07</v>
      </c>
      <c r="AK97" s="40" t="n">
        <v>17.6</v>
      </c>
      <c r="AL97" s="41" t="n">
        <v>55.1</v>
      </c>
      <c r="AM97" s="41" t="n">
        <f aca="false">AL97*0.6</f>
        <v>33.06</v>
      </c>
      <c r="AN97" s="41"/>
      <c r="AO97" s="2" t="n">
        <v>6.18</v>
      </c>
      <c r="AP97" s="40" t="n">
        <v>17.8</v>
      </c>
      <c r="AQ97" s="41" t="n">
        <v>210</v>
      </c>
      <c r="AR97" s="44" t="n">
        <f aca="false">AQ97*0.5</f>
        <v>105</v>
      </c>
      <c r="AS97" s="41" t="n">
        <v>0</v>
      </c>
      <c r="AT97" s="41" t="n">
        <v>6.91</v>
      </c>
      <c r="AU97" s="40" t="n">
        <v>17.8</v>
      </c>
      <c r="AV97" s="41" t="n">
        <v>272</v>
      </c>
      <c r="AW97" s="44" t="n">
        <f aca="false">AV97*0.5</f>
        <v>136</v>
      </c>
      <c r="AX97" s="43" t="n">
        <v>1.04</v>
      </c>
      <c r="AY97" s="41" t="n">
        <v>0</v>
      </c>
    </row>
    <row r="98" customFormat="false" ht="15" hidden="false" customHeight="false" outlineLevel="0" collapsed="false">
      <c r="A98" s="16" t="n">
        <v>45324</v>
      </c>
      <c r="B98" s="2" t="s">
        <v>51</v>
      </c>
      <c r="C98" s="29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</row>
    <row r="99" customFormat="false" ht="15" hidden="false" customHeight="false" outlineLevel="0" collapsed="false">
      <c r="A99" s="16" t="n">
        <v>45324</v>
      </c>
      <c r="B99" s="2" t="s">
        <v>52</v>
      </c>
      <c r="C99" s="29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</row>
    <row r="100" customFormat="false" ht="15" hidden="false" customHeight="false" outlineLevel="0" collapsed="false">
      <c r="A100" s="16" t="n">
        <v>45324</v>
      </c>
      <c r="B100" s="2" t="s">
        <v>57</v>
      </c>
      <c r="C100" s="29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</row>
    <row r="101" customFormat="false" ht="15" hidden="false" customHeight="false" outlineLevel="0" collapsed="false">
      <c r="A101" s="16" t="n">
        <v>45353</v>
      </c>
      <c r="B101" s="2" t="s">
        <v>51</v>
      </c>
      <c r="C101" s="32" t="n">
        <v>8.14</v>
      </c>
      <c r="D101" s="23" t="n">
        <v>16</v>
      </c>
      <c r="E101" s="33" t="n">
        <v>55.2</v>
      </c>
      <c r="F101" s="33" t="n">
        <f aca="false">E101*0.6</f>
        <v>33.12</v>
      </c>
      <c r="G101" s="33" t="n">
        <v>0.85</v>
      </c>
      <c r="H101" s="33" t="n">
        <v>8.13</v>
      </c>
      <c r="I101" s="23" t="n">
        <v>16.2</v>
      </c>
      <c r="J101" s="33" t="n">
        <v>55.1</v>
      </c>
      <c r="K101" s="33" t="n">
        <f aca="false">J101*0.6</f>
        <v>33.06</v>
      </c>
      <c r="L101" s="33" t="n">
        <v>0.69</v>
      </c>
      <c r="M101" s="33" t="n">
        <v>8.13</v>
      </c>
      <c r="N101" s="23" t="n">
        <v>16.2</v>
      </c>
      <c r="O101" s="33" t="n">
        <v>55.1</v>
      </c>
      <c r="P101" s="33" t="n">
        <f aca="false">O101*0.6</f>
        <v>33.06</v>
      </c>
      <c r="Q101" s="33" t="n">
        <v>0.69</v>
      </c>
      <c r="R101" s="33" t="n">
        <v>8.1</v>
      </c>
      <c r="S101" s="23" t="n">
        <v>16.4</v>
      </c>
      <c r="T101" s="33" t="n">
        <v>55.1</v>
      </c>
      <c r="U101" s="33" t="n">
        <f aca="false">0.6*T101</f>
        <v>33.06</v>
      </c>
      <c r="V101" s="33" t="n">
        <v>0</v>
      </c>
      <c r="W101" s="33" t="n">
        <v>8.1</v>
      </c>
      <c r="X101" s="23" t="n">
        <v>16.4</v>
      </c>
      <c r="Y101" s="33" t="n">
        <v>55.1</v>
      </c>
      <c r="Z101" s="33" t="n">
        <f aca="false">0.6*Y101</f>
        <v>33.06</v>
      </c>
      <c r="AA101" s="33" t="n">
        <v>0</v>
      </c>
      <c r="AB101" s="33" t="n">
        <v>8.09</v>
      </c>
      <c r="AC101" s="23" t="n">
        <v>16.4</v>
      </c>
      <c r="AD101" s="33" t="n">
        <v>55.1</v>
      </c>
      <c r="AE101" s="33" t="n">
        <f aca="false">0.6*AD101</f>
        <v>33.06</v>
      </c>
      <c r="AF101" s="33"/>
      <c r="AG101" s="33" t="n">
        <v>0</v>
      </c>
      <c r="AH101" s="33"/>
      <c r="AI101" s="21"/>
      <c r="AJ101" s="21"/>
      <c r="AK101" s="21"/>
      <c r="AL101" s="21"/>
      <c r="AM101" s="21"/>
      <c r="AN101" s="21"/>
      <c r="AO101" s="2" t="n">
        <v>6.64</v>
      </c>
      <c r="AP101" s="23" t="n">
        <v>16.6</v>
      </c>
      <c r="AQ101" s="33" t="n">
        <v>206</v>
      </c>
      <c r="AR101" s="33" t="n">
        <f aca="false">AQ101*0.5</f>
        <v>103</v>
      </c>
      <c r="AS101" s="33" t="n">
        <v>0</v>
      </c>
      <c r="AT101" s="33" t="n">
        <v>6.82</v>
      </c>
      <c r="AU101" s="23" t="n">
        <v>17.1</v>
      </c>
      <c r="AV101" s="33" t="n">
        <v>270</v>
      </c>
      <c r="AW101" s="33" t="n">
        <f aca="false">AV101*0.5</f>
        <v>135</v>
      </c>
      <c r="AX101" s="34" t="n">
        <v>0.93</v>
      </c>
      <c r="AY101" s="33" t="n">
        <v>0</v>
      </c>
    </row>
    <row r="102" customFormat="false" ht="15" hidden="false" customHeight="false" outlineLevel="0" collapsed="false">
      <c r="A102" s="16" t="n">
        <v>45353</v>
      </c>
      <c r="B102" s="2" t="s">
        <v>52</v>
      </c>
      <c r="C102" s="32" t="n">
        <v>8.1</v>
      </c>
      <c r="D102" s="23" t="n">
        <v>17.1</v>
      </c>
      <c r="E102" s="33" t="n">
        <v>54.6</v>
      </c>
      <c r="F102" s="33" t="n">
        <f aca="false">E102*0.6</f>
        <v>32.76</v>
      </c>
      <c r="G102" s="33" t="n">
        <v>0.34</v>
      </c>
      <c r="H102" s="33" t="n">
        <v>8.1</v>
      </c>
      <c r="I102" s="23" t="n">
        <v>17.1</v>
      </c>
      <c r="J102" s="33" t="n">
        <v>54.5</v>
      </c>
      <c r="K102" s="33" t="n">
        <f aca="false">J102*0.6</f>
        <v>32.7</v>
      </c>
      <c r="L102" s="33" t="n">
        <v>0.9</v>
      </c>
      <c r="M102" s="33" t="n">
        <v>8.1</v>
      </c>
      <c r="N102" s="23" t="n">
        <v>17.1</v>
      </c>
      <c r="O102" s="33" t="n">
        <v>54.5</v>
      </c>
      <c r="P102" s="33" t="n">
        <f aca="false">O102*0.6</f>
        <v>32.7</v>
      </c>
      <c r="Q102" s="33" t="n">
        <v>0.9</v>
      </c>
      <c r="R102" s="33" t="n">
        <v>8.09</v>
      </c>
      <c r="S102" s="23" t="n">
        <v>17.2</v>
      </c>
      <c r="T102" s="33" t="n">
        <v>54.5</v>
      </c>
      <c r="U102" s="33" t="n">
        <f aca="false">0.6*T102</f>
        <v>32.7</v>
      </c>
      <c r="V102" s="33" t="n">
        <v>0</v>
      </c>
      <c r="W102" s="33" t="n">
        <v>8.09</v>
      </c>
      <c r="X102" s="23" t="n">
        <v>17.2</v>
      </c>
      <c r="Y102" s="33" t="n">
        <v>54.5</v>
      </c>
      <c r="Z102" s="33" t="n">
        <f aca="false">0.6*Y102</f>
        <v>32.7</v>
      </c>
      <c r="AA102" s="33" t="n">
        <v>0</v>
      </c>
      <c r="AB102" s="33" t="n">
        <v>8.07</v>
      </c>
      <c r="AC102" s="23" t="n">
        <v>17.2</v>
      </c>
      <c r="AD102" s="33" t="n">
        <v>54.49</v>
      </c>
      <c r="AE102" s="33" t="n">
        <f aca="false">AD102*0.6</f>
        <v>32.694</v>
      </c>
      <c r="AF102" s="33"/>
      <c r="AG102" s="33" t="n">
        <v>0</v>
      </c>
      <c r="AH102" s="21"/>
      <c r="AI102" s="21"/>
      <c r="AJ102" s="21"/>
      <c r="AK102" s="21"/>
      <c r="AL102" s="21"/>
      <c r="AM102" s="21"/>
      <c r="AN102" s="21"/>
      <c r="AO102" s="2" t="n">
        <v>6.23</v>
      </c>
      <c r="AP102" s="23" t="n">
        <v>17.3</v>
      </c>
      <c r="AQ102" s="33" t="n">
        <v>190.8</v>
      </c>
      <c r="AR102" s="35" t="n">
        <f aca="false">AQ102*0.5</f>
        <v>95.4</v>
      </c>
      <c r="AS102" s="33" t="n">
        <v>0</v>
      </c>
      <c r="AT102" s="33" t="n">
        <v>6.85</v>
      </c>
      <c r="AU102" s="23" t="n">
        <v>17.5</v>
      </c>
      <c r="AV102" s="33" t="n">
        <v>272</v>
      </c>
      <c r="AW102" s="35" t="n">
        <f aca="false">AV102*0.5</f>
        <v>136</v>
      </c>
      <c r="AX102" s="34"/>
      <c r="AY102" s="33" t="n">
        <v>0</v>
      </c>
    </row>
    <row r="103" customFormat="false" ht="15" hidden="false" customHeight="false" outlineLevel="0" collapsed="false">
      <c r="A103" s="16" t="n">
        <v>45353</v>
      </c>
      <c r="B103" s="2" t="s">
        <v>57</v>
      </c>
      <c r="C103" s="32" t="n">
        <v>8.12</v>
      </c>
      <c r="D103" s="23" t="n">
        <v>17.5</v>
      </c>
      <c r="E103" s="33" t="n">
        <v>55.3</v>
      </c>
      <c r="F103" s="33" t="n">
        <f aca="false">E103*0.6</f>
        <v>33.18</v>
      </c>
      <c r="G103" s="33" t="n">
        <v>0.76</v>
      </c>
      <c r="H103" s="33" t="n">
        <v>8.09</v>
      </c>
      <c r="I103" s="23" t="n">
        <v>17.6</v>
      </c>
      <c r="J103" s="33" t="n">
        <v>55.2</v>
      </c>
      <c r="K103" s="33" t="n">
        <f aca="false">J103*0.6</f>
        <v>33.12</v>
      </c>
      <c r="L103" s="33" t="n">
        <v>0.71</v>
      </c>
      <c r="M103" s="33" t="n">
        <v>8.09</v>
      </c>
      <c r="N103" s="23" t="n">
        <v>17.6</v>
      </c>
      <c r="O103" s="33" t="n">
        <v>55.2</v>
      </c>
      <c r="P103" s="33" t="n">
        <f aca="false">O103*0.6</f>
        <v>33.12</v>
      </c>
      <c r="Q103" s="33" t="n">
        <v>0.71</v>
      </c>
      <c r="R103" s="33" t="n">
        <v>8.07</v>
      </c>
      <c r="S103" s="23" t="n">
        <v>17.8</v>
      </c>
      <c r="T103" s="33" t="n">
        <v>55.1</v>
      </c>
      <c r="U103" s="33" t="n">
        <f aca="false">T103*0.6</f>
        <v>33.06</v>
      </c>
      <c r="V103" s="33" t="n">
        <v>0</v>
      </c>
      <c r="W103" s="33" t="n">
        <v>8.07</v>
      </c>
      <c r="X103" s="23" t="n">
        <v>17.8</v>
      </c>
      <c r="Y103" s="33" t="n">
        <v>55.1</v>
      </c>
      <c r="Z103" s="33" t="n">
        <f aca="false">Y103*0.6</f>
        <v>33.06</v>
      </c>
      <c r="AA103" s="33" t="n">
        <v>0</v>
      </c>
      <c r="AB103" s="33" t="n">
        <v>8.05</v>
      </c>
      <c r="AC103" s="23" t="n">
        <v>17.9</v>
      </c>
      <c r="AD103" s="33" t="n">
        <v>55.1</v>
      </c>
      <c r="AE103" s="33" t="n">
        <f aca="false">AD103*0.6</f>
        <v>33.06</v>
      </c>
      <c r="AF103" s="33"/>
      <c r="AG103" s="33" t="n">
        <v>0</v>
      </c>
      <c r="AH103" s="45"/>
      <c r="AI103" s="21"/>
      <c r="AJ103" s="21"/>
      <c r="AK103" s="21"/>
      <c r="AL103" s="21"/>
      <c r="AM103" s="21"/>
      <c r="AN103" s="21"/>
      <c r="AO103" s="2" t="n">
        <v>6.66</v>
      </c>
      <c r="AP103" s="23" t="n">
        <v>18.1</v>
      </c>
      <c r="AQ103" s="33" t="n">
        <v>204</v>
      </c>
      <c r="AR103" s="35" t="n">
        <f aca="false">AQ103*0.5</f>
        <v>102</v>
      </c>
      <c r="AS103" s="33" t="n">
        <v>0</v>
      </c>
      <c r="AT103" s="33" t="n">
        <v>6.9</v>
      </c>
      <c r="AU103" s="23" t="n">
        <v>18.4</v>
      </c>
      <c r="AV103" s="33" t="n">
        <v>268</v>
      </c>
      <c r="AW103" s="35" t="n">
        <f aca="false">AV103*0.5</f>
        <v>134</v>
      </c>
      <c r="AX103" s="34" t="n">
        <v>0.99</v>
      </c>
      <c r="AY103" s="33" t="n">
        <v>0</v>
      </c>
    </row>
    <row r="104" customFormat="false" ht="15" hidden="false" customHeight="false" outlineLevel="0" collapsed="false">
      <c r="A104" s="16" t="n">
        <v>45384</v>
      </c>
      <c r="B104" s="2" t="s">
        <v>51</v>
      </c>
      <c r="C104" s="32" t="n">
        <v>8.15</v>
      </c>
      <c r="D104" s="23" t="n">
        <v>16.2</v>
      </c>
      <c r="E104" s="33" t="n">
        <v>55.2</v>
      </c>
      <c r="F104" s="33" t="n">
        <f aca="false">E104*0.6</f>
        <v>33.12</v>
      </c>
      <c r="G104" s="33" t="n">
        <v>0.48</v>
      </c>
      <c r="H104" s="33" t="n">
        <v>8.15</v>
      </c>
      <c r="I104" s="23" t="n">
        <v>16.2</v>
      </c>
      <c r="J104" s="33" t="n">
        <v>55.2</v>
      </c>
      <c r="K104" s="33" t="n">
        <f aca="false">J104*0.6</f>
        <v>33.12</v>
      </c>
      <c r="L104" s="33" t="n">
        <v>0.59</v>
      </c>
      <c r="M104" s="33" t="n">
        <v>8.15</v>
      </c>
      <c r="N104" s="23" t="n">
        <v>16.2</v>
      </c>
      <c r="O104" s="33" t="n">
        <v>55.2</v>
      </c>
      <c r="P104" s="33" t="n">
        <f aca="false">O104*0.6</f>
        <v>33.12</v>
      </c>
      <c r="Q104" s="33" t="n">
        <v>0.59</v>
      </c>
      <c r="R104" s="33" t="n">
        <v>8.12</v>
      </c>
      <c r="S104" s="23" t="n">
        <v>16.4</v>
      </c>
      <c r="T104" s="33" t="n">
        <v>55.1</v>
      </c>
      <c r="U104" s="33" t="n">
        <f aca="false">T104*0.6</f>
        <v>33.06</v>
      </c>
      <c r="V104" s="33" t="n">
        <v>0</v>
      </c>
      <c r="W104" s="33" t="n">
        <v>8.12</v>
      </c>
      <c r="X104" s="23" t="n">
        <v>16.4</v>
      </c>
      <c r="Y104" s="33" t="n">
        <v>55.1</v>
      </c>
      <c r="Z104" s="33" t="n">
        <f aca="false">Y104*0.6</f>
        <v>33.06</v>
      </c>
      <c r="AA104" s="33" t="n">
        <v>0</v>
      </c>
      <c r="AB104" s="33" t="n">
        <v>88.1</v>
      </c>
      <c r="AC104" s="23" t="n">
        <v>16.6</v>
      </c>
      <c r="AD104" s="33" t="n">
        <v>55.1</v>
      </c>
      <c r="AE104" s="33" t="n">
        <f aca="false">AD104*0.6</f>
        <v>33.06</v>
      </c>
      <c r="AF104" s="33"/>
      <c r="AG104" s="33" t="n">
        <v>0</v>
      </c>
      <c r="AH104" s="33"/>
      <c r="AI104" s="33" t="n">
        <v>8.15</v>
      </c>
      <c r="AJ104" s="23" t="n">
        <v>16.2</v>
      </c>
      <c r="AK104" s="33" t="n">
        <v>55.1</v>
      </c>
      <c r="AL104" s="33" t="n">
        <f aca="false">AK104*0.6</f>
        <v>33.06</v>
      </c>
      <c r="AM104" s="33"/>
      <c r="AN104" s="33" t="n">
        <v>0</v>
      </c>
      <c r="AO104" s="2" t="n">
        <v>6.28</v>
      </c>
      <c r="AP104" s="23" t="n">
        <v>16.6</v>
      </c>
      <c r="AQ104" s="33" t="n">
        <v>188.7</v>
      </c>
      <c r="AR104" s="33" t="n">
        <f aca="false">AQ104*0.5</f>
        <v>94.35</v>
      </c>
      <c r="AS104" s="33" t="n">
        <v>0</v>
      </c>
      <c r="AT104" s="33" t="n">
        <v>6.67</v>
      </c>
      <c r="AU104" s="23" t="n">
        <v>16.8</v>
      </c>
      <c r="AV104" s="33" t="n">
        <v>267</v>
      </c>
      <c r="AW104" s="33" t="n">
        <f aca="false">AV104*0.5</f>
        <v>133.5</v>
      </c>
      <c r="AX104" s="34" t="n">
        <v>1.07</v>
      </c>
      <c r="AY104" s="33" t="n">
        <v>0</v>
      </c>
    </row>
    <row r="105" customFormat="false" ht="15" hidden="false" customHeight="false" outlineLevel="0" collapsed="false">
      <c r="A105" s="16" t="n">
        <v>41731</v>
      </c>
      <c r="B105" s="2" t="s">
        <v>52</v>
      </c>
      <c r="C105" s="32" t="n">
        <v>8.02</v>
      </c>
      <c r="D105" s="23" t="n">
        <v>16.8</v>
      </c>
      <c r="E105" s="33" t="n">
        <v>55.5</v>
      </c>
      <c r="F105" s="33" t="n">
        <f aca="false">E105*0.6</f>
        <v>33.3</v>
      </c>
      <c r="G105" s="33" t="n">
        <v>0.6</v>
      </c>
      <c r="H105" s="33" t="n">
        <v>8.01</v>
      </c>
      <c r="I105" s="23" t="n">
        <v>16.4</v>
      </c>
      <c r="J105" s="33" t="n">
        <v>55.4</v>
      </c>
      <c r="K105" s="33" t="n">
        <f aca="false">J105*0.6</f>
        <v>33.24</v>
      </c>
      <c r="L105" s="33" t="n">
        <v>0.92</v>
      </c>
      <c r="M105" s="33" t="n">
        <v>8.01</v>
      </c>
      <c r="N105" s="23" t="n">
        <v>16.4</v>
      </c>
      <c r="O105" s="33" t="n">
        <v>55.4</v>
      </c>
      <c r="P105" s="33" t="n">
        <f aca="false">O105*0.6</f>
        <v>33.24</v>
      </c>
      <c r="Q105" s="33" t="n">
        <v>0.92</v>
      </c>
      <c r="R105" s="33" t="n">
        <v>8</v>
      </c>
      <c r="S105" s="23" t="n">
        <v>16.5</v>
      </c>
      <c r="T105" s="33" t="n">
        <v>55.4</v>
      </c>
      <c r="U105" s="33" t="n">
        <f aca="false">0.6*T105</f>
        <v>33.24</v>
      </c>
      <c r="V105" s="33" t="n">
        <v>0</v>
      </c>
      <c r="W105" s="33" t="n">
        <v>8</v>
      </c>
      <c r="X105" s="23" t="n">
        <v>16.5</v>
      </c>
      <c r="Y105" s="33" t="n">
        <v>55.4</v>
      </c>
      <c r="Z105" s="33" t="n">
        <f aca="false">0.6*Y105</f>
        <v>33.24</v>
      </c>
      <c r="AA105" s="33" t="n">
        <v>0</v>
      </c>
      <c r="AB105" s="33" t="n">
        <v>8</v>
      </c>
      <c r="AC105" s="23" t="n">
        <v>16.6</v>
      </c>
      <c r="AD105" s="33" t="n">
        <v>55.4</v>
      </c>
      <c r="AE105" s="33" t="n">
        <f aca="false">AD105*0.6</f>
        <v>33.24</v>
      </c>
      <c r="AF105" s="33"/>
      <c r="AG105" s="33" t="n">
        <v>0</v>
      </c>
      <c r="AH105" s="33"/>
      <c r="AI105" s="33" t="n">
        <v>8</v>
      </c>
      <c r="AJ105" s="23" t="n">
        <v>16.6</v>
      </c>
      <c r="AK105" s="33" t="n">
        <v>55.4</v>
      </c>
      <c r="AL105" s="33" t="n">
        <f aca="false">AK105*0.6</f>
        <v>33.24</v>
      </c>
      <c r="AM105" s="33"/>
      <c r="AN105" s="33" t="n">
        <v>0</v>
      </c>
      <c r="AO105" s="2" t="n">
        <v>6.21</v>
      </c>
      <c r="AP105" s="23" t="n">
        <v>17</v>
      </c>
      <c r="AQ105" s="33" t="n">
        <v>202</v>
      </c>
      <c r="AR105" s="35" t="n">
        <f aca="false">AQ105*0.5</f>
        <v>101</v>
      </c>
      <c r="AS105" s="33" t="n">
        <v>0</v>
      </c>
      <c r="AT105" s="33" t="n">
        <v>6.79</v>
      </c>
      <c r="AU105" s="23" t="n">
        <v>17.2</v>
      </c>
      <c r="AV105" s="33" t="n">
        <v>265</v>
      </c>
      <c r="AW105" s="35" t="n">
        <f aca="false">AV105*0.5</f>
        <v>132.5</v>
      </c>
      <c r="AX105" s="34"/>
      <c r="AY105" s="33" t="n">
        <v>0</v>
      </c>
    </row>
    <row r="106" customFormat="false" ht="15" hidden="false" customHeight="false" outlineLevel="0" collapsed="false">
      <c r="A106" s="16" t="n">
        <v>45384</v>
      </c>
      <c r="B106" s="2" t="s">
        <v>57</v>
      </c>
      <c r="C106" s="32" t="n">
        <v>8.02</v>
      </c>
      <c r="D106" s="23" t="n">
        <v>18.2</v>
      </c>
      <c r="E106" s="33" t="n">
        <v>54.2</v>
      </c>
      <c r="F106" s="33" t="n">
        <f aca="false">E106*0.6</f>
        <v>32.52</v>
      </c>
      <c r="G106" s="33" t="n">
        <v>0.16</v>
      </c>
      <c r="H106" s="33" t="n">
        <v>8.02</v>
      </c>
      <c r="I106" s="23" t="n">
        <v>18.2</v>
      </c>
      <c r="J106" s="33" t="n">
        <v>54.2</v>
      </c>
      <c r="K106" s="33" t="n">
        <f aca="false">J106*0.6</f>
        <v>32.52</v>
      </c>
      <c r="L106" s="33" t="n">
        <v>0.34</v>
      </c>
      <c r="M106" s="33" t="n">
        <v>8.02</v>
      </c>
      <c r="N106" s="23" t="n">
        <v>18.2</v>
      </c>
      <c r="O106" s="33" t="n">
        <v>54.2</v>
      </c>
      <c r="P106" s="33" t="n">
        <f aca="false">O106*0.6</f>
        <v>32.52</v>
      </c>
      <c r="Q106" s="33" t="n">
        <v>0.34</v>
      </c>
      <c r="R106" s="33" t="n">
        <v>8</v>
      </c>
      <c r="S106" s="23" t="n">
        <v>18</v>
      </c>
      <c r="T106" s="33" t="n">
        <v>54.1</v>
      </c>
      <c r="U106" s="33" t="n">
        <f aca="false">T106*0.6</f>
        <v>32.46</v>
      </c>
      <c r="V106" s="33" t="n">
        <v>0</v>
      </c>
      <c r="W106" s="33" t="n">
        <v>8</v>
      </c>
      <c r="X106" s="23" t="n">
        <v>18</v>
      </c>
      <c r="Y106" s="33" t="n">
        <v>54.1</v>
      </c>
      <c r="Z106" s="33" t="n">
        <f aca="false">Y106*0.6</f>
        <v>32.46</v>
      </c>
      <c r="AA106" s="33" t="n">
        <v>0</v>
      </c>
      <c r="AB106" s="33" t="n">
        <v>8.02</v>
      </c>
      <c r="AC106" s="23" t="n">
        <v>18.2</v>
      </c>
      <c r="AD106" s="33" t="n">
        <v>54.1</v>
      </c>
      <c r="AE106" s="33" t="n">
        <f aca="false">AD106*0.6</f>
        <v>32.46</v>
      </c>
      <c r="AF106" s="33"/>
      <c r="AG106" s="33" t="n">
        <v>0</v>
      </c>
      <c r="AH106" s="45"/>
      <c r="AI106" s="33" t="n">
        <v>8.02</v>
      </c>
      <c r="AJ106" s="23" t="n">
        <v>18.2</v>
      </c>
      <c r="AK106" s="33" t="n">
        <v>54.1</v>
      </c>
      <c r="AL106" s="33" t="n">
        <f aca="false">AK106*0.6</f>
        <v>32.46</v>
      </c>
      <c r="AM106" s="33"/>
      <c r="AN106" s="33" t="n">
        <v>0</v>
      </c>
      <c r="AO106" s="2" t="n">
        <v>6.2</v>
      </c>
      <c r="AP106" s="23" t="n">
        <v>17.3</v>
      </c>
      <c r="AQ106" s="33" t="n">
        <v>189.7</v>
      </c>
      <c r="AR106" s="35" t="n">
        <f aca="false">AQ106*0.5</f>
        <v>94.85</v>
      </c>
      <c r="AS106" s="33" t="n">
        <v>0</v>
      </c>
      <c r="AT106" s="33" t="n">
        <v>6.93</v>
      </c>
      <c r="AU106" s="23" t="n">
        <v>17.3</v>
      </c>
      <c r="AV106" s="33" t="n">
        <v>265</v>
      </c>
      <c r="AW106" s="35" t="n">
        <f aca="false">AV106*0.5</f>
        <v>132.5</v>
      </c>
      <c r="AX106" s="34" t="n">
        <v>1</v>
      </c>
      <c r="AY106" s="33" t="n">
        <v>0</v>
      </c>
    </row>
    <row r="107" customFormat="false" ht="15" hidden="false" customHeight="false" outlineLevel="0" collapsed="false">
      <c r="A107" s="16" t="n">
        <v>45414</v>
      </c>
      <c r="B107" s="2" t="s">
        <v>51</v>
      </c>
      <c r="C107" s="32" t="n">
        <v>8.14</v>
      </c>
      <c r="D107" s="23" t="n">
        <v>16</v>
      </c>
      <c r="E107" s="33" t="n">
        <v>55.4</v>
      </c>
      <c r="F107" s="33" t="n">
        <f aca="false">E107*0.6</f>
        <v>33.24</v>
      </c>
      <c r="G107" s="33" t="n">
        <v>0.68</v>
      </c>
      <c r="H107" s="33" t="n">
        <v>8.14</v>
      </c>
      <c r="I107" s="23" t="n">
        <v>16</v>
      </c>
      <c r="J107" s="33" t="n">
        <v>55.4</v>
      </c>
      <c r="K107" s="33" t="n">
        <f aca="false">J107*0.6</f>
        <v>33.24</v>
      </c>
      <c r="L107" s="33" t="n">
        <v>0.74</v>
      </c>
      <c r="M107" s="33" t="n">
        <v>8.14</v>
      </c>
      <c r="N107" s="23" t="n">
        <v>16.2</v>
      </c>
      <c r="O107" s="33" t="n">
        <v>55.4</v>
      </c>
      <c r="P107" s="33" t="n">
        <f aca="false">O107*0.6</f>
        <v>33.24</v>
      </c>
      <c r="Q107" s="33" t="n">
        <v>0.74</v>
      </c>
      <c r="R107" s="33" t="n">
        <v>8.09</v>
      </c>
      <c r="S107" s="23" t="n">
        <v>16.2</v>
      </c>
      <c r="T107" s="33" t="n">
        <v>55.3</v>
      </c>
      <c r="U107" s="33" t="n">
        <f aca="false">T107*0.6</f>
        <v>33.18</v>
      </c>
      <c r="V107" s="33" t="n">
        <v>0</v>
      </c>
      <c r="W107" s="33" t="n">
        <v>8.09</v>
      </c>
      <c r="X107" s="23" t="n">
        <v>16.2</v>
      </c>
      <c r="Y107" s="33" t="n">
        <v>55.3</v>
      </c>
      <c r="Z107" s="33" t="n">
        <f aca="false">Y107*0.6</f>
        <v>33.18</v>
      </c>
      <c r="AA107" s="33" t="n">
        <v>0</v>
      </c>
      <c r="AB107" s="33" t="n">
        <v>8.05</v>
      </c>
      <c r="AC107" s="23" t="n">
        <v>16.4</v>
      </c>
      <c r="AD107" s="33" t="n">
        <v>55.2</v>
      </c>
      <c r="AE107" s="33" t="n">
        <f aca="false">AD107*0.6</f>
        <v>33.12</v>
      </c>
      <c r="AF107" s="33"/>
      <c r="AG107" s="33" t="n">
        <v>0</v>
      </c>
      <c r="AH107" s="33"/>
      <c r="AI107" s="33" t="n">
        <v>8.05</v>
      </c>
      <c r="AJ107" s="23" t="n">
        <v>16.4</v>
      </c>
      <c r="AK107" s="33" t="n">
        <v>55.2</v>
      </c>
      <c r="AL107" s="33" t="n">
        <f aca="false">AK107*0.6</f>
        <v>33.12</v>
      </c>
      <c r="AM107" s="33"/>
      <c r="AN107" s="33" t="n">
        <v>0</v>
      </c>
      <c r="AO107" s="2" t="n">
        <v>6.22</v>
      </c>
      <c r="AP107" s="23" t="n">
        <v>16</v>
      </c>
      <c r="AQ107" s="33" t="n">
        <v>181.9</v>
      </c>
      <c r="AR107" s="33" t="n">
        <f aca="false">AQ107*0.5</f>
        <v>90.95</v>
      </c>
      <c r="AS107" s="33" t="n">
        <v>0</v>
      </c>
      <c r="AT107" s="33" t="n">
        <v>6.89</v>
      </c>
      <c r="AU107" s="23" t="n">
        <v>16.9</v>
      </c>
      <c r="AV107" s="33" t="n">
        <v>264</v>
      </c>
      <c r="AW107" s="33" t="n">
        <f aca="false">AV107*0.5</f>
        <v>132</v>
      </c>
      <c r="AX107" s="34" t="n">
        <v>0.89</v>
      </c>
      <c r="AY107" s="33" t="n">
        <v>0</v>
      </c>
    </row>
    <row r="108" customFormat="false" ht="15" hidden="false" customHeight="false" outlineLevel="0" collapsed="false">
      <c r="A108" s="16" t="n">
        <v>45414</v>
      </c>
      <c r="B108" s="2" t="s">
        <v>52</v>
      </c>
      <c r="C108" s="32" t="n">
        <v>8.1</v>
      </c>
      <c r="D108" s="23" t="n">
        <v>16.2</v>
      </c>
      <c r="E108" s="33" t="n">
        <v>55.4</v>
      </c>
      <c r="F108" s="33" t="n">
        <f aca="false">E108*0.6</f>
        <v>33.24</v>
      </c>
      <c r="G108" s="33" t="n">
        <v>0.27</v>
      </c>
      <c r="H108" s="33" t="n">
        <v>8.06</v>
      </c>
      <c r="I108" s="23" t="n">
        <v>16.4</v>
      </c>
      <c r="J108" s="33" t="n">
        <v>55.4</v>
      </c>
      <c r="K108" s="33" t="n">
        <f aca="false">J108*0.6</f>
        <v>33.24</v>
      </c>
      <c r="L108" s="33" t="n">
        <v>0.45</v>
      </c>
      <c r="M108" s="33" t="n">
        <v>8.06</v>
      </c>
      <c r="N108" s="23" t="n">
        <v>16.4</v>
      </c>
      <c r="O108" s="33" t="n">
        <v>55.4</v>
      </c>
      <c r="P108" s="33" t="n">
        <f aca="false">O108*0.6</f>
        <v>33.24</v>
      </c>
      <c r="Q108" s="33" t="n">
        <v>0.45</v>
      </c>
      <c r="R108" s="33" t="n">
        <v>8.1</v>
      </c>
      <c r="S108" s="23" t="n">
        <v>18</v>
      </c>
      <c r="T108" s="33" t="n">
        <v>55.4</v>
      </c>
      <c r="U108" s="33" t="n">
        <f aca="false">T108*0.6</f>
        <v>33.24</v>
      </c>
      <c r="V108" s="33" t="n">
        <v>0</v>
      </c>
      <c r="W108" s="33" t="n">
        <v>8.05</v>
      </c>
      <c r="X108" s="23" t="n">
        <v>16.5</v>
      </c>
      <c r="Y108" s="33" t="n">
        <v>55.4</v>
      </c>
      <c r="Z108" s="33" t="n">
        <f aca="false">0.6*Y108</f>
        <v>33.24</v>
      </c>
      <c r="AA108" s="33" t="n">
        <v>0</v>
      </c>
      <c r="AB108" s="33" t="n">
        <v>8</v>
      </c>
      <c r="AC108" s="23" t="n">
        <v>16.6</v>
      </c>
      <c r="AD108" s="33" t="n">
        <v>55.4</v>
      </c>
      <c r="AE108" s="33" t="n">
        <f aca="false">AD108*0.6</f>
        <v>33.24</v>
      </c>
      <c r="AF108" s="33"/>
      <c r="AG108" s="33" t="n">
        <v>0</v>
      </c>
      <c r="AH108" s="33"/>
      <c r="AI108" s="33" t="n">
        <v>8</v>
      </c>
      <c r="AJ108" s="23" t="n">
        <v>16.6</v>
      </c>
      <c r="AK108" s="33" t="n">
        <v>55.4</v>
      </c>
      <c r="AL108" s="33" t="n">
        <f aca="false">AK108*0.6</f>
        <v>33.24</v>
      </c>
      <c r="AM108" s="33"/>
      <c r="AN108" s="33" t="n">
        <v>0</v>
      </c>
      <c r="AO108" s="2" t="n">
        <v>6.21</v>
      </c>
      <c r="AP108" s="23" t="n">
        <v>17</v>
      </c>
      <c r="AQ108" s="33" t="n">
        <v>190</v>
      </c>
      <c r="AR108" s="35" t="n">
        <f aca="false">AQ108*0.5</f>
        <v>95</v>
      </c>
      <c r="AS108" s="33" t="n">
        <v>0</v>
      </c>
      <c r="AT108" s="33" t="n">
        <v>6.84</v>
      </c>
      <c r="AU108" s="23" t="n">
        <v>17.2</v>
      </c>
      <c r="AV108" s="33" t="n">
        <v>277</v>
      </c>
      <c r="AW108" s="35" t="n">
        <f aca="false">AV108*0.5</f>
        <v>138.5</v>
      </c>
      <c r="AX108" s="34" t="n">
        <v>0.99</v>
      </c>
      <c r="AY108" s="33" t="n">
        <v>0</v>
      </c>
    </row>
    <row r="109" customFormat="false" ht="15" hidden="false" customHeight="false" outlineLevel="0" collapsed="false">
      <c r="A109" s="16" t="n">
        <v>45414</v>
      </c>
      <c r="B109" s="2" t="s">
        <v>57</v>
      </c>
      <c r="C109" s="32" t="n">
        <v>8.1</v>
      </c>
      <c r="D109" s="23" t="n">
        <v>18</v>
      </c>
      <c r="E109" s="33" t="n">
        <v>55.2</v>
      </c>
      <c r="F109" s="33" t="n">
        <f aca="false">E109*0.6</f>
        <v>33.12</v>
      </c>
      <c r="G109" s="33" t="n">
        <v>0.37</v>
      </c>
      <c r="H109" s="33" t="n">
        <v>8.09</v>
      </c>
      <c r="I109" s="23" t="n">
        <v>18</v>
      </c>
      <c r="J109" s="33" t="n">
        <v>55.2</v>
      </c>
      <c r="K109" s="33" t="n">
        <f aca="false">J109*0.6</f>
        <v>33.12</v>
      </c>
      <c r="L109" s="33" t="n">
        <v>0.97</v>
      </c>
      <c r="M109" s="33" t="n">
        <v>8.09</v>
      </c>
      <c r="N109" s="23" t="n">
        <v>17.6</v>
      </c>
      <c r="O109" s="33" t="n">
        <v>55.2</v>
      </c>
      <c r="P109" s="33" t="n">
        <f aca="false">O109*0.6</f>
        <v>33.12</v>
      </c>
      <c r="Q109" s="33" t="n">
        <v>0.97</v>
      </c>
      <c r="R109" s="33" t="n">
        <v>8.05</v>
      </c>
      <c r="S109" s="23" t="n">
        <v>17.6</v>
      </c>
      <c r="T109" s="33" t="n">
        <v>55.1</v>
      </c>
      <c r="U109" s="33" t="n">
        <f aca="false">T109*0.6</f>
        <v>33.06</v>
      </c>
      <c r="V109" s="33" t="n">
        <v>0</v>
      </c>
      <c r="W109" s="33" t="n">
        <v>8.05</v>
      </c>
      <c r="X109" s="23" t="n">
        <v>17</v>
      </c>
      <c r="Y109" s="33" t="n">
        <v>55.1</v>
      </c>
      <c r="Z109" s="33" t="n">
        <f aca="false">Y109*0.6</f>
        <v>33.06</v>
      </c>
      <c r="AA109" s="33" t="n">
        <v>0</v>
      </c>
      <c r="AB109" s="33" t="n">
        <v>8.02</v>
      </c>
      <c r="AC109" s="23" t="n">
        <v>17</v>
      </c>
      <c r="AD109" s="33" t="n">
        <v>55.1</v>
      </c>
      <c r="AE109" s="33" t="n">
        <f aca="false">AD109*0.6</f>
        <v>33.06</v>
      </c>
      <c r="AF109" s="33"/>
      <c r="AG109" s="33" t="n">
        <v>0</v>
      </c>
      <c r="AH109" s="45"/>
      <c r="AI109" s="33" t="n">
        <v>8.02</v>
      </c>
      <c r="AJ109" s="23" t="n">
        <v>17</v>
      </c>
      <c r="AK109" s="33" t="n">
        <v>55.1</v>
      </c>
      <c r="AL109" s="33" t="n">
        <f aca="false">AK109*0.6</f>
        <v>33.06</v>
      </c>
      <c r="AM109" s="33"/>
      <c r="AN109" s="33" t="n">
        <v>0</v>
      </c>
      <c r="AO109" s="2" t="n">
        <v>6.33</v>
      </c>
      <c r="AP109" s="23" t="n">
        <v>17.3</v>
      </c>
      <c r="AQ109" s="33" t="n">
        <v>199.6</v>
      </c>
      <c r="AR109" s="35" t="n">
        <f aca="false">AQ109*0.5</f>
        <v>99.8</v>
      </c>
      <c r="AS109" s="33" t="n">
        <v>0</v>
      </c>
      <c r="AT109" s="33" t="n">
        <v>6.99</v>
      </c>
      <c r="AU109" s="23" t="n">
        <v>17.6</v>
      </c>
      <c r="AV109" s="33" t="n">
        <v>277</v>
      </c>
      <c r="AW109" s="35" t="n">
        <f aca="false">AV109*0.5</f>
        <v>138.5</v>
      </c>
      <c r="AX109" s="34"/>
      <c r="AY109" s="33" t="n">
        <v>0</v>
      </c>
    </row>
    <row r="110" customFormat="false" ht="15" hidden="false" customHeight="false" outlineLevel="0" collapsed="false">
      <c r="A110" s="16" t="n">
        <v>45445</v>
      </c>
      <c r="B110" s="2" t="s">
        <v>51</v>
      </c>
      <c r="C110" s="32" t="n">
        <v>8.04</v>
      </c>
      <c r="D110" s="23" t="n">
        <v>18.1</v>
      </c>
      <c r="E110" s="33" t="n">
        <v>53.9</v>
      </c>
      <c r="F110" s="33" t="n">
        <f aca="false">E110*0.6</f>
        <v>32.34</v>
      </c>
      <c r="G110" s="33" t="n">
        <v>0.79</v>
      </c>
      <c r="H110" s="33" t="n">
        <v>8.04</v>
      </c>
      <c r="I110" s="23" t="n">
        <v>18.1</v>
      </c>
      <c r="J110" s="33" t="n">
        <v>53.9</v>
      </c>
      <c r="K110" s="33" t="n">
        <f aca="false">J110*0.6</f>
        <v>32.34</v>
      </c>
      <c r="L110" s="33" t="n">
        <v>0.96</v>
      </c>
      <c r="M110" s="33" t="n">
        <v>8.04</v>
      </c>
      <c r="N110" s="23" t="n">
        <v>18.1</v>
      </c>
      <c r="O110" s="33" t="n">
        <v>53.9</v>
      </c>
      <c r="P110" s="33" t="n">
        <f aca="false">O110*0.6</f>
        <v>32.34</v>
      </c>
      <c r="Q110" s="33" t="n">
        <v>0.96</v>
      </c>
      <c r="R110" s="33" t="n">
        <v>8.02</v>
      </c>
      <c r="S110" s="23" t="n">
        <v>17.9</v>
      </c>
      <c r="T110" s="33" t="n">
        <v>53.8</v>
      </c>
      <c r="U110" s="33" t="n">
        <f aca="false">T110*0.6</f>
        <v>32.28</v>
      </c>
      <c r="V110" s="33" t="n">
        <v>0</v>
      </c>
      <c r="W110" s="33" t="n">
        <v>8.02</v>
      </c>
      <c r="X110" s="23" t="n">
        <v>17.9</v>
      </c>
      <c r="Y110" s="33" t="n">
        <v>53.8</v>
      </c>
      <c r="Z110" s="33" t="n">
        <f aca="false">Y110*0.6</f>
        <v>32.28</v>
      </c>
      <c r="AA110" s="33" t="n">
        <v>0</v>
      </c>
      <c r="AB110" s="33" t="n">
        <v>8</v>
      </c>
      <c r="AC110" s="23" t="n">
        <v>17.3</v>
      </c>
      <c r="AD110" s="33" t="n">
        <v>53.7</v>
      </c>
      <c r="AE110" s="33" t="n">
        <f aca="false">AD110*0.6</f>
        <v>32.22</v>
      </c>
      <c r="AF110" s="33"/>
      <c r="AG110" s="33" t="n">
        <v>0</v>
      </c>
      <c r="AH110" s="33"/>
      <c r="AI110" s="33" t="n">
        <v>8</v>
      </c>
      <c r="AJ110" s="23" t="n">
        <v>17.3</v>
      </c>
      <c r="AK110" s="33" t="n">
        <v>53.7</v>
      </c>
      <c r="AL110" s="33" t="n">
        <f aca="false">AK110*0.6</f>
        <v>32.22</v>
      </c>
      <c r="AM110" s="33"/>
      <c r="AN110" s="33" t="n">
        <v>0</v>
      </c>
      <c r="AO110" s="2" t="n">
        <v>6.4</v>
      </c>
      <c r="AP110" s="23" t="n">
        <v>16.8</v>
      </c>
      <c r="AQ110" s="33" t="n">
        <v>201</v>
      </c>
      <c r="AR110" s="33" t="n">
        <f aca="false">AQ110*0.5</f>
        <v>100.5</v>
      </c>
      <c r="AS110" s="33" t="n">
        <v>0</v>
      </c>
      <c r="AT110" s="33" t="n">
        <v>6.99</v>
      </c>
      <c r="AU110" s="23" t="n">
        <v>17.1</v>
      </c>
      <c r="AV110" s="33" t="n">
        <v>257</v>
      </c>
      <c r="AW110" s="33" t="n">
        <f aca="false">AV110*0.5</f>
        <v>128.5</v>
      </c>
      <c r="AX110" s="34" t="n">
        <v>0.98</v>
      </c>
      <c r="AY110" s="33" t="n">
        <v>0</v>
      </c>
    </row>
    <row r="111" customFormat="false" ht="15" hidden="false" customHeight="false" outlineLevel="0" collapsed="false">
      <c r="A111" s="16" t="n">
        <v>45445</v>
      </c>
      <c r="B111" s="2" t="s">
        <v>52</v>
      </c>
      <c r="C111" s="32" t="n">
        <v>8.12</v>
      </c>
      <c r="D111" s="23" t="n">
        <v>17.6</v>
      </c>
      <c r="E111" s="33" t="n">
        <v>54.5</v>
      </c>
      <c r="F111" s="33" t="n">
        <f aca="false">E111*0.6</f>
        <v>32.7</v>
      </c>
      <c r="G111" s="33" t="n">
        <v>0.24</v>
      </c>
      <c r="H111" s="33" t="n">
        <v>8.06</v>
      </c>
      <c r="I111" s="23" t="n">
        <v>16.8</v>
      </c>
      <c r="J111" s="33" t="n">
        <v>54.5</v>
      </c>
      <c r="K111" s="33" t="n">
        <f aca="false">J111*0.6</f>
        <v>32.7</v>
      </c>
      <c r="L111" s="33" t="n">
        <v>0.32</v>
      </c>
      <c r="M111" s="33" t="n">
        <v>8.06</v>
      </c>
      <c r="N111" s="23" t="n">
        <v>16.8</v>
      </c>
      <c r="O111" s="33" t="n">
        <v>54.5</v>
      </c>
      <c r="P111" s="33" t="n">
        <f aca="false">O111*0.6</f>
        <v>32.7</v>
      </c>
      <c r="Q111" s="33" t="n">
        <v>0.32</v>
      </c>
      <c r="R111" s="33" t="n">
        <v>8.05</v>
      </c>
      <c r="S111" s="23" t="n">
        <v>16.7</v>
      </c>
      <c r="T111" s="33" t="n">
        <v>54.5</v>
      </c>
      <c r="U111" s="33" t="n">
        <f aca="false">0.6*T111</f>
        <v>32.7</v>
      </c>
      <c r="V111" s="33" t="n">
        <v>0</v>
      </c>
      <c r="W111" s="33" t="n">
        <v>8.05</v>
      </c>
      <c r="X111" s="23" t="n">
        <v>16.7</v>
      </c>
      <c r="Y111" s="33" t="n">
        <v>54.5</v>
      </c>
      <c r="Z111" s="33" t="n">
        <f aca="false">0.6*Y111</f>
        <v>32.7</v>
      </c>
      <c r="AA111" s="33" t="n">
        <v>0</v>
      </c>
      <c r="AB111" s="33" t="n">
        <v>8.01</v>
      </c>
      <c r="AC111" s="23" t="n">
        <v>16.7</v>
      </c>
      <c r="AD111" s="33" t="n">
        <v>54.5</v>
      </c>
      <c r="AE111" s="33" t="n">
        <f aca="false">AD111*0.6</f>
        <v>32.7</v>
      </c>
      <c r="AF111" s="33"/>
      <c r="AG111" s="33" t="n">
        <v>0</v>
      </c>
      <c r="AH111" s="33"/>
      <c r="AI111" s="33" t="n">
        <v>8.01</v>
      </c>
      <c r="AJ111" s="23" t="n">
        <v>16.7</v>
      </c>
      <c r="AK111" s="33" t="n">
        <v>54.5</v>
      </c>
      <c r="AL111" s="33" t="n">
        <f aca="false">AK111*0.6</f>
        <v>32.7</v>
      </c>
      <c r="AM111" s="33"/>
      <c r="AN111" s="33" t="n">
        <v>0</v>
      </c>
      <c r="AO111" s="2" t="n">
        <v>6.15</v>
      </c>
      <c r="AP111" s="23" t="n">
        <v>17</v>
      </c>
      <c r="AQ111" s="33" t="n">
        <v>205</v>
      </c>
      <c r="AR111" s="35" t="n">
        <f aca="false">AQ111*0.5</f>
        <v>102.5</v>
      </c>
      <c r="AS111" s="33" t="n">
        <v>0</v>
      </c>
      <c r="AT111" s="33" t="n">
        <v>6.92</v>
      </c>
      <c r="AU111" s="23" t="n">
        <v>17.4</v>
      </c>
      <c r="AV111" s="33" t="n">
        <v>258</v>
      </c>
      <c r="AW111" s="35" t="n">
        <f aca="false">AV111*0.5</f>
        <v>129</v>
      </c>
      <c r="AX111" s="34"/>
      <c r="AY111" s="33" t="n">
        <v>0</v>
      </c>
    </row>
    <row r="112" customFormat="false" ht="15" hidden="false" customHeight="false" outlineLevel="0" collapsed="false">
      <c r="A112" s="16" t="n">
        <v>45445</v>
      </c>
      <c r="B112" s="2" t="s">
        <v>57</v>
      </c>
      <c r="C112" s="32" t="n">
        <v>8.12</v>
      </c>
      <c r="D112" s="23" t="n">
        <v>16.6</v>
      </c>
      <c r="E112" s="33" t="n">
        <v>54.3</v>
      </c>
      <c r="F112" s="33" t="n">
        <f aca="false">E112*0.6</f>
        <v>32.58</v>
      </c>
      <c r="G112" s="33" t="n">
        <v>0.35</v>
      </c>
      <c r="H112" s="33" t="n">
        <v>8.06</v>
      </c>
      <c r="I112" s="23" t="n">
        <v>17</v>
      </c>
      <c r="J112" s="33" t="n">
        <v>54.3</v>
      </c>
      <c r="K112" s="33" t="n">
        <f aca="false">J112*0.6</f>
        <v>32.58</v>
      </c>
      <c r="L112" s="33" t="n">
        <v>0.58</v>
      </c>
      <c r="M112" s="33" t="n">
        <v>8.06</v>
      </c>
      <c r="N112" s="23" t="n">
        <v>17</v>
      </c>
      <c r="O112" s="33" t="n">
        <v>54.3</v>
      </c>
      <c r="P112" s="33" t="n">
        <f aca="false">O112*0.6</f>
        <v>32.58</v>
      </c>
      <c r="Q112" s="33" t="n">
        <v>0.58</v>
      </c>
      <c r="R112" s="33" t="n">
        <v>8.03</v>
      </c>
      <c r="S112" s="23" t="n">
        <v>16.9</v>
      </c>
      <c r="T112" s="33" t="n">
        <v>54.3</v>
      </c>
      <c r="U112" s="33" t="n">
        <f aca="false">T112*0.6</f>
        <v>32.58</v>
      </c>
      <c r="V112" s="33" t="n">
        <v>0</v>
      </c>
      <c r="W112" s="33" t="n">
        <v>8.03</v>
      </c>
      <c r="X112" s="23" t="n">
        <v>16.9</v>
      </c>
      <c r="Y112" s="33" t="n">
        <v>54.3</v>
      </c>
      <c r="Z112" s="33" t="n">
        <f aca="false">Y112*0.6</f>
        <v>32.58</v>
      </c>
      <c r="AA112" s="33" t="n">
        <v>0</v>
      </c>
      <c r="AB112" s="33" t="n">
        <v>8</v>
      </c>
      <c r="AC112" s="23" t="n">
        <v>17.1</v>
      </c>
      <c r="AD112" s="33" t="n">
        <v>54.1</v>
      </c>
      <c r="AE112" s="33" t="n">
        <f aca="false">AD112*0.6</f>
        <v>32.46</v>
      </c>
      <c r="AF112" s="33"/>
      <c r="AG112" s="33" t="n">
        <v>0</v>
      </c>
      <c r="AH112" s="45"/>
      <c r="AI112" s="33" t="n">
        <v>8</v>
      </c>
      <c r="AJ112" s="23" t="n">
        <v>17.1</v>
      </c>
      <c r="AK112" s="33" t="n">
        <v>54.1</v>
      </c>
      <c r="AL112" s="33" t="n">
        <f aca="false">AK112*0.6</f>
        <v>32.46</v>
      </c>
      <c r="AM112" s="33"/>
      <c r="AN112" s="33" t="n">
        <v>0</v>
      </c>
      <c r="AO112" s="2" t="n">
        <v>6.12</v>
      </c>
      <c r="AP112" s="23" t="n">
        <v>17.3</v>
      </c>
      <c r="AQ112" s="33" t="n">
        <v>203</v>
      </c>
      <c r="AR112" s="35" t="n">
        <f aca="false">AQ112*0.5</f>
        <v>101.5</v>
      </c>
      <c r="AS112" s="33" t="n">
        <v>0</v>
      </c>
      <c r="AT112" s="33" t="n">
        <v>6.88</v>
      </c>
      <c r="AU112" s="23" t="n">
        <v>17.5</v>
      </c>
      <c r="AV112" s="33" t="n">
        <v>258</v>
      </c>
      <c r="AW112" s="35" t="n">
        <f aca="false">AV112*0.5</f>
        <v>129</v>
      </c>
      <c r="AX112" s="34" t="n">
        <v>0.99</v>
      </c>
      <c r="AY112" s="33" t="n">
        <v>0</v>
      </c>
    </row>
    <row r="113" customFormat="false" ht="15" hidden="false" customHeight="false" outlineLevel="0" collapsed="false">
      <c r="A113" s="16" t="n">
        <v>45475</v>
      </c>
      <c r="B113" s="2" t="s">
        <v>51</v>
      </c>
      <c r="C113" s="32" t="n">
        <v>8.06</v>
      </c>
      <c r="D113" s="23" t="n">
        <v>16.6</v>
      </c>
      <c r="E113" s="33" t="n">
        <v>54.7</v>
      </c>
      <c r="F113" s="33" t="n">
        <f aca="false">E113*0.6</f>
        <v>32.82</v>
      </c>
      <c r="G113" s="33" t="n">
        <v>0.13</v>
      </c>
      <c r="H113" s="33" t="n">
        <v>8.04</v>
      </c>
      <c r="I113" s="23" t="n">
        <v>15.7</v>
      </c>
      <c r="J113" s="33" t="n">
        <v>54.6</v>
      </c>
      <c r="K113" s="33" t="n">
        <f aca="false">J113*0.6</f>
        <v>32.76</v>
      </c>
      <c r="L113" s="33" t="n">
        <v>0.98</v>
      </c>
      <c r="M113" s="33" t="n">
        <v>8.05</v>
      </c>
      <c r="N113" s="23" t="n">
        <v>15.7</v>
      </c>
      <c r="O113" s="33" t="n">
        <v>54.6</v>
      </c>
      <c r="P113" s="33" t="n">
        <f aca="false">O113*0.6</f>
        <v>32.76</v>
      </c>
      <c r="Q113" s="33" t="n">
        <v>0.41</v>
      </c>
      <c r="R113" s="33" t="n">
        <v>8.04</v>
      </c>
      <c r="S113" s="23" t="n">
        <v>15.8</v>
      </c>
      <c r="T113" s="33" t="n">
        <v>54.6</v>
      </c>
      <c r="U113" s="33" t="n">
        <f aca="false">T113*0.6</f>
        <v>32.76</v>
      </c>
      <c r="V113" s="33" t="n">
        <v>0</v>
      </c>
      <c r="W113" s="33" t="n">
        <v>8.04</v>
      </c>
      <c r="X113" s="23" t="n">
        <v>15.7</v>
      </c>
      <c r="Y113" s="33" t="n">
        <v>54.6</v>
      </c>
      <c r="Z113" s="33" t="n">
        <f aca="false">Y113*0.6</f>
        <v>32.76</v>
      </c>
      <c r="AA113" s="33" t="n">
        <v>0</v>
      </c>
      <c r="AB113" s="33" t="n">
        <v>8.03</v>
      </c>
      <c r="AC113" s="23" t="n">
        <v>16</v>
      </c>
      <c r="AD113" s="33" t="n">
        <v>54.6</v>
      </c>
      <c r="AE113" s="33" t="n">
        <f aca="false">AD113*0.6</f>
        <v>32.76</v>
      </c>
      <c r="AF113" s="33"/>
      <c r="AG113" s="33" t="n">
        <v>0</v>
      </c>
      <c r="AH113" s="33"/>
      <c r="AI113" s="33" t="n">
        <v>8.03</v>
      </c>
      <c r="AJ113" s="23" t="n">
        <v>16</v>
      </c>
      <c r="AK113" s="33" t="n">
        <v>54.6</v>
      </c>
      <c r="AL113" s="33" t="n">
        <f aca="false">AK113*0.6</f>
        <v>32.76</v>
      </c>
      <c r="AM113" s="33"/>
      <c r="AN113" s="33" t="n">
        <v>0</v>
      </c>
      <c r="AO113" s="2" t="n">
        <v>6.12</v>
      </c>
      <c r="AP113" s="23" t="n">
        <v>16.4</v>
      </c>
      <c r="AQ113" s="33" t="n">
        <v>192.4</v>
      </c>
      <c r="AR113" s="33" t="n">
        <f aca="false">AQ113*0.5</f>
        <v>96.2</v>
      </c>
      <c r="AS113" s="33" t="n">
        <v>0</v>
      </c>
      <c r="AT113" s="33" t="n">
        <v>6.88</v>
      </c>
      <c r="AU113" s="23" t="n">
        <v>16.7</v>
      </c>
      <c r="AV113" s="33" t="n">
        <v>260</v>
      </c>
      <c r="AW113" s="33" t="n">
        <f aca="false">AV113*0.5</f>
        <v>130</v>
      </c>
      <c r="AX113" s="34" t="n">
        <v>1.07</v>
      </c>
      <c r="AY113" s="33" t="n">
        <v>0</v>
      </c>
    </row>
    <row r="114" customFormat="false" ht="15" hidden="false" customHeight="false" outlineLevel="0" collapsed="false">
      <c r="A114" s="16" t="n">
        <v>45475</v>
      </c>
      <c r="B114" s="2" t="s">
        <v>52</v>
      </c>
      <c r="C114" s="32" t="n">
        <v>8.04</v>
      </c>
      <c r="D114" s="23" t="n">
        <v>17.5</v>
      </c>
      <c r="E114" s="33" t="n">
        <v>54.6</v>
      </c>
      <c r="F114" s="33" t="n">
        <f aca="false">E114*0.6</f>
        <v>32.76</v>
      </c>
      <c r="G114" s="33" t="n">
        <v>0.04</v>
      </c>
      <c r="H114" s="33" t="n">
        <v>8.02</v>
      </c>
      <c r="I114" s="23" t="n">
        <v>16.3</v>
      </c>
      <c r="J114" s="33" t="n">
        <v>54.6</v>
      </c>
      <c r="K114" s="33" t="n">
        <f aca="false">J114*0.6</f>
        <v>32.76</v>
      </c>
      <c r="L114" s="33" t="n">
        <v>0.87</v>
      </c>
      <c r="M114" s="33" t="n">
        <v>8.03</v>
      </c>
      <c r="N114" s="23" t="n">
        <v>16.1</v>
      </c>
      <c r="O114" s="33" t="n">
        <v>54.6</v>
      </c>
      <c r="P114" s="33" t="n">
        <f aca="false">O114*0.6</f>
        <v>32.76</v>
      </c>
      <c r="Q114" s="33" t="n">
        <v>0.8</v>
      </c>
      <c r="R114" s="33" t="n">
        <v>8.01</v>
      </c>
      <c r="S114" s="23" t="n">
        <v>16</v>
      </c>
      <c r="T114" s="33" t="n">
        <v>54.6</v>
      </c>
      <c r="U114" s="33" t="n">
        <f aca="false">0.6*T114</f>
        <v>32.76</v>
      </c>
      <c r="V114" s="33" t="n">
        <v>0</v>
      </c>
      <c r="W114" s="33" t="n">
        <v>8.03</v>
      </c>
      <c r="X114" s="23" t="n">
        <v>16</v>
      </c>
      <c r="Y114" s="33" t="n">
        <v>54.6</v>
      </c>
      <c r="Z114" s="33" t="n">
        <f aca="false">0.6*Y114</f>
        <v>32.76</v>
      </c>
      <c r="AA114" s="33" t="n">
        <v>0</v>
      </c>
      <c r="AB114" s="33" t="n">
        <v>8</v>
      </c>
      <c r="AC114" s="23" t="n">
        <v>16.5</v>
      </c>
      <c r="AD114" s="33" t="n">
        <v>54.5</v>
      </c>
      <c r="AE114" s="33" t="n">
        <f aca="false">AD114*0.6</f>
        <v>32.7</v>
      </c>
      <c r="AF114" s="33"/>
      <c r="AG114" s="33" t="n">
        <v>0</v>
      </c>
      <c r="AH114" s="33"/>
      <c r="AI114" s="33" t="n">
        <v>8</v>
      </c>
      <c r="AJ114" s="23" t="n">
        <v>16.5</v>
      </c>
      <c r="AK114" s="33" t="n">
        <v>54.5</v>
      </c>
      <c r="AL114" s="33" t="n">
        <f aca="false">AK114*0.6</f>
        <v>32.7</v>
      </c>
      <c r="AM114" s="33"/>
      <c r="AN114" s="33" t="n">
        <v>0</v>
      </c>
      <c r="AO114" s="2" t="n">
        <v>6.13</v>
      </c>
      <c r="AP114" s="23" t="n">
        <v>16.8</v>
      </c>
      <c r="AQ114" s="33" t="n">
        <v>199.9</v>
      </c>
      <c r="AR114" s="35" t="n">
        <f aca="false">AQ114*0.5</f>
        <v>99.95</v>
      </c>
      <c r="AS114" s="33" t="n">
        <v>0</v>
      </c>
      <c r="AT114" s="33" t="n">
        <v>6.78</v>
      </c>
      <c r="AU114" s="23" t="n">
        <v>17.1</v>
      </c>
      <c r="AV114" s="33" t="n">
        <v>259</v>
      </c>
      <c r="AW114" s="35" t="n">
        <f aca="false">AV114*0.5</f>
        <v>129.5</v>
      </c>
      <c r="AX114" s="34"/>
      <c r="AY114" s="33" t="n">
        <v>0</v>
      </c>
    </row>
    <row r="115" customFormat="false" ht="15" hidden="false" customHeight="false" outlineLevel="0" collapsed="false">
      <c r="A115" s="16" t="n">
        <v>45475</v>
      </c>
      <c r="B115" s="2" t="s">
        <v>57</v>
      </c>
      <c r="C115" s="32" t="n">
        <v>8.06</v>
      </c>
      <c r="D115" s="23" t="n">
        <v>17.6</v>
      </c>
      <c r="E115" s="33" t="n">
        <v>54.7</v>
      </c>
      <c r="F115" s="33" t="n">
        <f aca="false">E115*0.6</f>
        <v>32.82</v>
      </c>
      <c r="G115" s="33" t="n">
        <v>0.47</v>
      </c>
      <c r="H115" s="33" t="n">
        <v>8.02</v>
      </c>
      <c r="I115" s="23" t="n">
        <v>17</v>
      </c>
      <c r="J115" s="33" t="n">
        <v>54.7</v>
      </c>
      <c r="K115" s="33" t="n">
        <f aca="false">J115*0.6</f>
        <v>32.82</v>
      </c>
      <c r="L115" s="33" t="n">
        <v>1.01</v>
      </c>
      <c r="M115" s="33" t="n">
        <v>8.02</v>
      </c>
      <c r="N115" s="23" t="n">
        <v>17</v>
      </c>
      <c r="O115" s="33" t="n">
        <v>54.7</v>
      </c>
      <c r="P115" s="33" t="n">
        <f aca="false">O115*0.6</f>
        <v>32.82</v>
      </c>
      <c r="Q115" s="33" t="n">
        <v>1.01</v>
      </c>
      <c r="R115" s="33" t="n">
        <v>8</v>
      </c>
      <c r="S115" s="23" t="n">
        <v>17</v>
      </c>
      <c r="T115" s="33" t="n">
        <v>54.7</v>
      </c>
      <c r="U115" s="33" t="n">
        <f aca="false">T115*0.6</f>
        <v>32.82</v>
      </c>
      <c r="V115" s="33" t="n">
        <v>0</v>
      </c>
      <c r="W115" s="33" t="n">
        <v>8</v>
      </c>
      <c r="X115" s="23" t="n">
        <v>17</v>
      </c>
      <c r="Y115" s="33" t="n">
        <v>54.7</v>
      </c>
      <c r="Z115" s="33" t="n">
        <f aca="false">Y115*0.6</f>
        <v>32.82</v>
      </c>
      <c r="AA115" s="33" t="n">
        <v>0</v>
      </c>
      <c r="AB115" s="33" t="n">
        <v>8</v>
      </c>
      <c r="AC115" s="23" t="n">
        <v>16.7</v>
      </c>
      <c r="AD115" s="33" t="n">
        <v>54.7</v>
      </c>
      <c r="AE115" s="33" t="n">
        <f aca="false">AD115*0.6</f>
        <v>32.82</v>
      </c>
      <c r="AF115" s="33"/>
      <c r="AG115" s="33" t="n">
        <v>0</v>
      </c>
      <c r="AH115" s="45"/>
      <c r="AI115" s="33" t="n">
        <v>8</v>
      </c>
      <c r="AJ115" s="23" t="n">
        <v>16.7</v>
      </c>
      <c r="AK115" s="33" t="n">
        <v>54.7</v>
      </c>
      <c r="AL115" s="33" t="n">
        <f aca="false">AK115*0.6</f>
        <v>32.82</v>
      </c>
      <c r="AM115" s="33"/>
      <c r="AN115" s="33" t="n">
        <v>0</v>
      </c>
      <c r="AO115" s="2" t="n">
        <v>6.11</v>
      </c>
      <c r="AP115" s="23" t="n">
        <v>17.2</v>
      </c>
      <c r="AQ115" s="33" t="n">
        <v>198.7</v>
      </c>
      <c r="AR115" s="35" t="n">
        <f aca="false">AQ115*0.5</f>
        <v>99.35</v>
      </c>
      <c r="AS115" s="33" t="n">
        <v>0</v>
      </c>
      <c r="AT115" s="33" t="n">
        <v>6.89</v>
      </c>
      <c r="AU115" s="23" t="n">
        <v>17.5</v>
      </c>
      <c r="AV115" s="33" t="n">
        <v>265</v>
      </c>
      <c r="AW115" s="35" t="n">
        <f aca="false">AV115*0.5</f>
        <v>132.5</v>
      </c>
      <c r="AX115" s="34" t="n">
        <v>1</v>
      </c>
      <c r="AY115" s="33" t="n">
        <v>0</v>
      </c>
    </row>
    <row r="116" customFormat="false" ht="15" hidden="false" customHeight="false" outlineLevel="0" collapsed="false">
      <c r="A116" s="16" t="n">
        <v>45506</v>
      </c>
      <c r="B116" s="2" t="s">
        <v>51</v>
      </c>
      <c r="C116" s="32" t="n">
        <v>8.06</v>
      </c>
      <c r="D116" s="23" t="n">
        <v>16.4</v>
      </c>
      <c r="E116" s="33" t="n">
        <v>54.5</v>
      </c>
      <c r="F116" s="33" t="n">
        <f aca="false">E116*0.6</f>
        <v>32.7</v>
      </c>
      <c r="G116" s="33" t="n">
        <v>0.17</v>
      </c>
      <c r="H116" s="33" t="n">
        <v>8.03</v>
      </c>
      <c r="I116" s="23" t="n">
        <v>15.2</v>
      </c>
      <c r="J116" s="33" t="n">
        <v>54.5</v>
      </c>
      <c r="K116" s="33" t="n">
        <f aca="false">J116*0.6</f>
        <v>32.7</v>
      </c>
      <c r="L116" s="33" t="n">
        <v>0.29</v>
      </c>
      <c r="M116" s="33" t="n">
        <v>8.03</v>
      </c>
      <c r="N116" s="23" t="n">
        <v>15.3</v>
      </c>
      <c r="O116" s="33" t="n">
        <v>54.5</v>
      </c>
      <c r="P116" s="33" t="n">
        <f aca="false">O116*0.6</f>
        <v>32.7</v>
      </c>
      <c r="Q116" s="33" t="n">
        <v>0.4</v>
      </c>
      <c r="R116" s="33" t="n">
        <v>8.03</v>
      </c>
      <c r="S116" s="23" t="n">
        <v>15.5</v>
      </c>
      <c r="T116" s="33" t="n">
        <v>54.8</v>
      </c>
      <c r="U116" s="33" t="n">
        <f aca="false">T116*0.6</f>
        <v>32.88</v>
      </c>
      <c r="V116" s="46" t="n">
        <v>0</v>
      </c>
      <c r="W116" s="33" t="n">
        <v>8.03</v>
      </c>
      <c r="X116" s="23" t="n">
        <v>15.5</v>
      </c>
      <c r="Y116" s="33" t="n">
        <v>54.8</v>
      </c>
      <c r="Z116" s="33" t="n">
        <f aca="false">Y116*0.6</f>
        <v>32.88</v>
      </c>
      <c r="AA116" s="46" t="n">
        <v>0</v>
      </c>
      <c r="AB116" s="33" t="n">
        <v>8.02</v>
      </c>
      <c r="AC116" s="23" t="n">
        <v>15.7</v>
      </c>
      <c r="AD116" s="33" t="n">
        <v>54.7</v>
      </c>
      <c r="AE116" s="33" t="n">
        <f aca="false">AD116*0.6</f>
        <v>32.82</v>
      </c>
      <c r="AF116" s="33"/>
      <c r="AG116" s="46" t="n">
        <v>0</v>
      </c>
      <c r="AH116" s="21"/>
      <c r="AI116" s="33" t="n">
        <v>8.02</v>
      </c>
      <c r="AJ116" s="23" t="n">
        <v>15.7</v>
      </c>
      <c r="AK116" s="33" t="n">
        <v>54.7</v>
      </c>
      <c r="AL116" s="33" t="n">
        <f aca="false">AK116*0.6</f>
        <v>32.82</v>
      </c>
      <c r="AM116" s="33"/>
      <c r="AN116" s="46" t="n">
        <v>0</v>
      </c>
      <c r="AO116" s="2" t="n">
        <v>6.15</v>
      </c>
      <c r="AP116" s="23" t="n">
        <v>16.2</v>
      </c>
      <c r="AQ116" s="33" t="n">
        <v>208</v>
      </c>
      <c r="AR116" s="33" t="n">
        <f aca="false">AQ116*0.5</f>
        <v>104</v>
      </c>
      <c r="AS116" s="46" t="n">
        <v>0</v>
      </c>
      <c r="AT116" s="33" t="n">
        <v>6.89</v>
      </c>
      <c r="AU116" s="23" t="n">
        <v>16.7</v>
      </c>
      <c r="AV116" s="33" t="n">
        <v>259</v>
      </c>
      <c r="AW116" s="33" t="n">
        <f aca="false">AV116*0.5</f>
        <v>129.5</v>
      </c>
      <c r="AX116" s="34" t="n">
        <v>1.02</v>
      </c>
      <c r="AY116" s="46" t="n">
        <v>0</v>
      </c>
    </row>
    <row r="117" customFormat="false" ht="15" hidden="false" customHeight="false" outlineLevel="0" collapsed="false">
      <c r="A117" s="16" t="n">
        <v>45506</v>
      </c>
      <c r="B117" s="2" t="s">
        <v>52</v>
      </c>
      <c r="C117" s="32" t="n">
        <v>8.07</v>
      </c>
      <c r="D117" s="23" t="n">
        <v>17.5</v>
      </c>
      <c r="E117" s="33" t="n">
        <v>54.3</v>
      </c>
      <c r="F117" s="33" t="n">
        <f aca="false">E117*0.6</f>
        <v>32.58</v>
      </c>
      <c r="G117" s="33" t="n">
        <v>0.61</v>
      </c>
      <c r="H117" s="33" t="n">
        <v>8.05</v>
      </c>
      <c r="I117" s="23" t="n">
        <v>17.3</v>
      </c>
      <c r="J117" s="33" t="n">
        <v>54.3</v>
      </c>
      <c r="K117" s="33" t="n">
        <f aca="false">J117*0.6</f>
        <v>32.58</v>
      </c>
      <c r="L117" s="33" t="n">
        <v>0.29</v>
      </c>
      <c r="M117" s="33" t="n">
        <v>8.05</v>
      </c>
      <c r="N117" s="23" t="n">
        <v>17.3</v>
      </c>
      <c r="O117" s="33" t="n">
        <v>54.3</v>
      </c>
      <c r="P117" s="33" t="n">
        <f aca="false">O117*0.6</f>
        <v>32.58</v>
      </c>
      <c r="Q117" s="33" t="n">
        <v>0.358</v>
      </c>
      <c r="R117" s="33" t="n">
        <v>8.05</v>
      </c>
      <c r="S117" s="23" t="n">
        <v>17.3</v>
      </c>
      <c r="T117" s="33" t="n">
        <v>54.3</v>
      </c>
      <c r="U117" s="33" t="n">
        <f aca="false">T117*0.6</f>
        <v>32.58</v>
      </c>
      <c r="V117" s="46" t="n">
        <v>0</v>
      </c>
      <c r="W117" s="33" t="n">
        <v>8.05</v>
      </c>
      <c r="X117" s="23" t="n">
        <v>17.3</v>
      </c>
      <c r="Y117" s="33" t="n">
        <v>54.3</v>
      </c>
      <c r="Z117" s="33" t="n">
        <f aca="false">Y117*0.6</f>
        <v>32.58</v>
      </c>
      <c r="AA117" s="46" t="n">
        <v>0</v>
      </c>
      <c r="AB117" s="33" t="n">
        <v>8.03</v>
      </c>
      <c r="AC117" s="23" t="n">
        <v>17.2</v>
      </c>
      <c r="AD117" s="33" t="n">
        <v>54.4</v>
      </c>
      <c r="AE117" s="33" t="n">
        <f aca="false">AD117*0.6</f>
        <v>32.64</v>
      </c>
      <c r="AF117" s="33"/>
      <c r="AG117" s="46" t="n">
        <v>0</v>
      </c>
      <c r="AH117" s="21"/>
      <c r="AI117" s="33" t="n">
        <v>8.03</v>
      </c>
      <c r="AJ117" s="23" t="n">
        <v>17.2</v>
      </c>
      <c r="AK117" s="33" t="n">
        <v>54.4</v>
      </c>
      <c r="AL117" s="33" t="n">
        <f aca="false">AK117*0.6</f>
        <v>32.64</v>
      </c>
      <c r="AM117" s="33"/>
      <c r="AN117" s="46" t="n">
        <v>0</v>
      </c>
      <c r="AO117" s="2" t="n">
        <v>6.17</v>
      </c>
      <c r="AP117" s="23" t="n">
        <v>17.1</v>
      </c>
      <c r="AQ117" s="33" t="n">
        <v>184.9</v>
      </c>
      <c r="AR117" s="35" t="n">
        <f aca="false">AQ117*0.5</f>
        <v>92.45</v>
      </c>
      <c r="AS117" s="46" t="n">
        <v>0</v>
      </c>
      <c r="AT117" s="33" t="n">
        <v>6.85</v>
      </c>
      <c r="AU117" s="23" t="n">
        <v>17.4</v>
      </c>
      <c r="AV117" s="33" t="n">
        <v>265</v>
      </c>
      <c r="AW117" s="35" t="n">
        <f aca="false">AV117*0.5</f>
        <v>132.5</v>
      </c>
      <c r="AX117" s="34"/>
      <c r="AY117" s="46" t="n">
        <v>0</v>
      </c>
    </row>
    <row r="118" customFormat="false" ht="15" hidden="false" customHeight="false" outlineLevel="0" collapsed="false">
      <c r="A118" s="16" t="n">
        <v>45506</v>
      </c>
      <c r="B118" s="2" t="s">
        <v>57</v>
      </c>
      <c r="C118" s="32" t="n">
        <v>8.02</v>
      </c>
      <c r="D118" s="23" t="n">
        <v>19.1</v>
      </c>
      <c r="E118" s="33" t="n">
        <v>54.5</v>
      </c>
      <c r="F118" s="33" t="n">
        <f aca="false">E118*0.6</f>
        <v>32.7</v>
      </c>
      <c r="G118" s="33" t="n">
        <v>0.17</v>
      </c>
      <c r="H118" s="33" t="n">
        <v>8.02</v>
      </c>
      <c r="I118" s="23" t="n">
        <v>19.1</v>
      </c>
      <c r="J118" s="33" t="n">
        <v>54.5</v>
      </c>
      <c r="K118" s="33" t="n">
        <f aca="false">J118*0.6</f>
        <v>32.7</v>
      </c>
      <c r="L118" s="33" t="n">
        <v>0.25</v>
      </c>
      <c r="M118" s="33" t="n">
        <v>8.02</v>
      </c>
      <c r="N118" s="23" t="n">
        <v>19.1</v>
      </c>
      <c r="O118" s="33" t="n">
        <v>54.5</v>
      </c>
      <c r="P118" s="33" t="n">
        <f aca="false">O118*0.6</f>
        <v>32.7</v>
      </c>
      <c r="Q118" s="33" t="n">
        <v>0.33</v>
      </c>
      <c r="R118" s="33" t="n">
        <v>8.01</v>
      </c>
      <c r="S118" s="23" t="n">
        <v>18.9</v>
      </c>
      <c r="T118" s="33" t="n">
        <v>54.4</v>
      </c>
      <c r="U118" s="33" t="n">
        <f aca="false">T118*0.6</f>
        <v>32.64</v>
      </c>
      <c r="V118" s="33" t="n">
        <v>0.03</v>
      </c>
      <c r="W118" s="33" t="n">
        <v>8.01</v>
      </c>
      <c r="X118" s="23" t="n">
        <v>18.9</v>
      </c>
      <c r="Y118" s="33" t="n">
        <v>54.4</v>
      </c>
      <c r="Z118" s="33" t="n">
        <f aca="false">Y118*0.6</f>
        <v>32.64</v>
      </c>
      <c r="AA118" s="33" t="n">
        <v>0.03</v>
      </c>
      <c r="AB118" s="33" t="n">
        <v>8</v>
      </c>
      <c r="AC118" s="23" t="n">
        <v>17.8</v>
      </c>
      <c r="AD118" s="33" t="n">
        <v>54.3</v>
      </c>
      <c r="AE118" s="33" t="n">
        <f aca="false">AD118*0.6</f>
        <v>32.58</v>
      </c>
      <c r="AF118" s="33"/>
      <c r="AG118" s="46" t="n">
        <v>0</v>
      </c>
      <c r="AH118" s="21"/>
      <c r="AI118" s="33" t="n">
        <v>8</v>
      </c>
      <c r="AJ118" s="23" t="n">
        <v>17.8</v>
      </c>
      <c r="AK118" s="33" t="n">
        <v>54.3</v>
      </c>
      <c r="AL118" s="33" t="n">
        <f aca="false">AK118*0.6</f>
        <v>32.58</v>
      </c>
      <c r="AM118" s="33"/>
      <c r="AN118" s="46" t="n">
        <v>0</v>
      </c>
      <c r="AO118" s="2" t="n">
        <v>6.04</v>
      </c>
      <c r="AP118" s="23" t="n">
        <v>17.2</v>
      </c>
      <c r="AQ118" s="33" t="n">
        <v>210</v>
      </c>
      <c r="AR118" s="35" t="n">
        <f aca="false">AQ118*0.5</f>
        <v>105</v>
      </c>
      <c r="AS118" s="46" t="n">
        <v>0</v>
      </c>
      <c r="AT118" s="33" t="n">
        <v>6.72</v>
      </c>
      <c r="AU118" s="23" t="n">
        <v>17.4</v>
      </c>
      <c r="AV118" s="33" t="n">
        <v>260</v>
      </c>
      <c r="AW118" s="35" t="n">
        <f aca="false">AV118*0.5</f>
        <v>130</v>
      </c>
      <c r="AX118" s="34" t="n">
        <v>0.99</v>
      </c>
      <c r="AY118" s="46" t="n">
        <v>0</v>
      </c>
    </row>
    <row r="119" customFormat="false" ht="15" hidden="false" customHeight="false" outlineLevel="0" collapsed="false">
      <c r="A119" s="16" t="n">
        <v>45537</v>
      </c>
      <c r="B119" s="2" t="s">
        <v>51</v>
      </c>
      <c r="C119" s="47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</row>
    <row r="120" customFormat="false" ht="15" hidden="false" customHeight="false" outlineLevel="0" collapsed="false">
      <c r="A120" s="16" t="n">
        <v>45537</v>
      </c>
      <c r="B120" s="2" t="s">
        <v>52</v>
      </c>
      <c r="C120" s="47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</row>
    <row r="121" customFormat="false" ht="15" hidden="false" customHeight="false" outlineLevel="0" collapsed="false">
      <c r="A121" s="16" t="n">
        <v>45537</v>
      </c>
      <c r="B121" s="2" t="s">
        <v>57</v>
      </c>
      <c r="C121" s="47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</row>
    <row r="122" customFormat="false" ht="15" hidden="false" customHeight="false" outlineLevel="0" collapsed="false">
      <c r="A122" s="16" t="n">
        <v>45567</v>
      </c>
      <c r="B122" s="2" t="s">
        <v>51</v>
      </c>
      <c r="C122" s="32" t="n">
        <v>8.01</v>
      </c>
      <c r="D122" s="23" t="n">
        <v>17.1</v>
      </c>
      <c r="E122" s="33" t="n">
        <v>54.7</v>
      </c>
      <c r="F122" s="33" t="n">
        <f aca="false">E122*0.6</f>
        <v>32.82</v>
      </c>
      <c r="G122" s="33" t="n">
        <v>0.24</v>
      </c>
      <c r="H122" s="33" t="n">
        <v>8.01</v>
      </c>
      <c r="I122" s="23" t="n">
        <v>17.1</v>
      </c>
      <c r="J122" s="49"/>
      <c r="K122" s="49"/>
      <c r="L122" s="33" t="n">
        <v>0.86</v>
      </c>
      <c r="M122" s="33" t="n">
        <v>8.01</v>
      </c>
      <c r="N122" s="23" t="n">
        <v>17.1</v>
      </c>
      <c r="O122" s="49"/>
      <c r="P122" s="49"/>
      <c r="Q122" s="33" t="n">
        <v>0.92</v>
      </c>
      <c r="R122" s="33" t="n">
        <v>8</v>
      </c>
      <c r="S122" s="23" t="n">
        <v>17.2</v>
      </c>
      <c r="T122" s="49"/>
      <c r="U122" s="49"/>
      <c r="V122" s="46" t="n">
        <v>0</v>
      </c>
      <c r="W122" s="33" t="n">
        <v>8</v>
      </c>
      <c r="X122" s="23" t="n">
        <v>17.2</v>
      </c>
      <c r="Y122" s="49"/>
      <c r="Z122" s="49"/>
      <c r="AA122" s="46" t="n">
        <v>0</v>
      </c>
      <c r="AB122" s="33" t="n">
        <v>7.99</v>
      </c>
      <c r="AC122" s="23" t="n">
        <v>16.9</v>
      </c>
      <c r="AD122" s="33" t="n">
        <v>54.4</v>
      </c>
      <c r="AE122" s="33" t="n">
        <f aca="false">AD122*0.6</f>
        <v>32.64</v>
      </c>
      <c r="AF122" s="33"/>
      <c r="AG122" s="46" t="n">
        <v>0</v>
      </c>
      <c r="AH122" s="21"/>
      <c r="AI122" s="33" t="n">
        <v>7.99</v>
      </c>
      <c r="AJ122" s="23" t="n">
        <v>16.9</v>
      </c>
      <c r="AK122" s="33" t="n">
        <v>54.4</v>
      </c>
      <c r="AL122" s="33" t="n">
        <f aca="false">AK122*0.6</f>
        <v>32.64</v>
      </c>
      <c r="AM122" s="33"/>
      <c r="AN122" s="46" t="n">
        <v>0</v>
      </c>
      <c r="AO122" s="2" t="n">
        <v>6.03</v>
      </c>
      <c r="AP122" s="23" t="n">
        <v>16.8</v>
      </c>
      <c r="AQ122" s="33" t="n">
        <v>187.7</v>
      </c>
      <c r="AR122" s="33" t="n">
        <f aca="false">AQ122*0.5</f>
        <v>93.85</v>
      </c>
      <c r="AS122" s="46" t="n">
        <v>0</v>
      </c>
      <c r="AT122" s="33" t="n">
        <v>6.78</v>
      </c>
      <c r="AU122" s="23" t="n">
        <v>17.4</v>
      </c>
      <c r="AV122" s="33" t="n">
        <v>260</v>
      </c>
      <c r="AW122" s="33" t="n">
        <f aca="false">AV122*0.5</f>
        <v>130</v>
      </c>
      <c r="AX122" s="34" t="n">
        <v>0.96</v>
      </c>
      <c r="AY122" s="46" t="n">
        <v>0</v>
      </c>
    </row>
    <row r="123" customFormat="false" ht="15" hidden="false" customHeight="false" outlineLevel="0" collapsed="false">
      <c r="A123" s="16" t="n">
        <v>45567</v>
      </c>
      <c r="B123" s="2" t="s">
        <v>52</v>
      </c>
      <c r="C123" s="32" t="n">
        <v>8</v>
      </c>
      <c r="D123" s="23" t="n">
        <v>17.1</v>
      </c>
      <c r="E123" s="33" t="n">
        <v>54.2</v>
      </c>
      <c r="F123" s="33" t="n">
        <f aca="false">E123*0.6</f>
        <v>32.52</v>
      </c>
      <c r="G123" s="33" t="n">
        <v>0.45</v>
      </c>
      <c r="H123" s="33" t="n">
        <v>8</v>
      </c>
      <c r="I123" s="23" t="n">
        <v>17.1</v>
      </c>
      <c r="J123" s="50"/>
      <c r="K123" s="49"/>
      <c r="L123" s="33" t="n">
        <v>0.58</v>
      </c>
      <c r="M123" s="33" t="n">
        <v>8</v>
      </c>
      <c r="N123" s="23" t="n">
        <v>17.1</v>
      </c>
      <c r="O123" s="49"/>
      <c r="P123" s="49"/>
      <c r="Q123" s="33" t="n">
        <v>0.65</v>
      </c>
      <c r="R123" s="33" t="n">
        <v>8</v>
      </c>
      <c r="S123" s="23" t="n">
        <v>17.2</v>
      </c>
      <c r="T123" s="49"/>
      <c r="U123" s="49"/>
      <c r="V123" s="46" t="n">
        <v>0</v>
      </c>
      <c r="W123" s="33" t="n">
        <v>8</v>
      </c>
      <c r="X123" s="23" t="n">
        <v>17.2</v>
      </c>
      <c r="Y123" s="49"/>
      <c r="Z123" s="49"/>
      <c r="AA123" s="46" t="n">
        <v>0</v>
      </c>
      <c r="AB123" s="33" t="n">
        <v>7.99</v>
      </c>
      <c r="AC123" s="23" t="n">
        <v>16.8</v>
      </c>
      <c r="AD123" s="33" t="n">
        <v>54.5</v>
      </c>
      <c r="AE123" s="33" t="n">
        <f aca="false">AD123*0.6</f>
        <v>32.7</v>
      </c>
      <c r="AF123" s="33"/>
      <c r="AG123" s="46" t="n">
        <v>0</v>
      </c>
      <c r="AH123" s="21"/>
      <c r="AI123" s="33" t="n">
        <v>7.99</v>
      </c>
      <c r="AJ123" s="23" t="n">
        <v>16.8</v>
      </c>
      <c r="AK123" s="33" t="n">
        <v>54.5</v>
      </c>
      <c r="AL123" s="33" t="n">
        <f aca="false">AK123*0.6</f>
        <v>32.7</v>
      </c>
      <c r="AM123" s="33"/>
      <c r="AN123" s="46" t="n">
        <v>0</v>
      </c>
      <c r="AO123" s="2" t="n">
        <v>5.83</v>
      </c>
      <c r="AP123" s="23" t="n">
        <v>17.2</v>
      </c>
      <c r="AQ123" s="33" t="n">
        <v>198.8</v>
      </c>
      <c r="AR123" s="35" t="n">
        <f aca="false">AQ123*0.5</f>
        <v>99.4</v>
      </c>
      <c r="AS123" s="46" t="n">
        <v>0</v>
      </c>
      <c r="AT123" s="33" t="n">
        <v>6.68</v>
      </c>
      <c r="AU123" s="23" t="n">
        <v>17.4</v>
      </c>
      <c r="AV123" s="33" t="n">
        <v>258</v>
      </c>
      <c r="AW123" s="35" t="n">
        <f aca="false">AV123*0.5</f>
        <v>129</v>
      </c>
      <c r="AX123" s="34"/>
      <c r="AY123" s="46" t="n">
        <v>0</v>
      </c>
    </row>
    <row r="124" customFormat="false" ht="15" hidden="false" customHeight="false" outlineLevel="0" collapsed="false">
      <c r="A124" s="16" t="n">
        <v>45567</v>
      </c>
      <c r="B124" s="2" t="s">
        <v>57</v>
      </c>
      <c r="C124" s="32" t="n">
        <v>8.05</v>
      </c>
      <c r="D124" s="23" t="n">
        <v>18.2</v>
      </c>
      <c r="E124" s="33" t="n">
        <v>53.6</v>
      </c>
      <c r="F124" s="33" t="n">
        <f aca="false">E124*0.6</f>
        <v>32.16</v>
      </c>
      <c r="G124" s="33" t="n">
        <v>0.89</v>
      </c>
      <c r="H124" s="33" t="n">
        <v>8.05</v>
      </c>
      <c r="I124" s="23" t="n">
        <v>18</v>
      </c>
      <c r="J124" s="49"/>
      <c r="K124" s="49"/>
      <c r="L124" s="33" t="n">
        <v>0.98</v>
      </c>
      <c r="M124" s="33" t="n">
        <v>8.05</v>
      </c>
      <c r="N124" s="23" t="n">
        <v>18</v>
      </c>
      <c r="O124" s="49"/>
      <c r="P124" s="49"/>
      <c r="Q124" s="33" t="n">
        <v>1.02</v>
      </c>
      <c r="R124" s="33" t="n">
        <v>8.03</v>
      </c>
      <c r="S124" s="23" t="n">
        <v>17.9</v>
      </c>
      <c r="T124" s="49"/>
      <c r="U124" s="49"/>
      <c r="V124" s="46" t="n">
        <v>0</v>
      </c>
      <c r="W124" s="33" t="n">
        <v>8.03</v>
      </c>
      <c r="X124" s="23" t="n">
        <v>17.9</v>
      </c>
      <c r="Y124" s="49"/>
      <c r="Z124" s="49"/>
      <c r="AA124" s="46" t="n">
        <v>0</v>
      </c>
      <c r="AB124" s="33" t="n">
        <v>8</v>
      </c>
      <c r="AC124" s="23" t="n">
        <v>17.6</v>
      </c>
      <c r="AD124" s="33" t="n">
        <v>54.3</v>
      </c>
      <c r="AE124" s="33" t="n">
        <f aca="false">AD124*0.6</f>
        <v>32.58</v>
      </c>
      <c r="AF124" s="33"/>
      <c r="AG124" s="46" t="n">
        <v>0</v>
      </c>
      <c r="AH124" s="45"/>
      <c r="AI124" s="33" t="n">
        <v>8</v>
      </c>
      <c r="AJ124" s="23" t="n">
        <v>17.6</v>
      </c>
      <c r="AK124" s="33" t="n">
        <v>54.3</v>
      </c>
      <c r="AL124" s="33" t="n">
        <f aca="false">AK124*0.6</f>
        <v>32.58</v>
      </c>
      <c r="AM124" s="33"/>
      <c r="AN124" s="46" t="n">
        <v>0</v>
      </c>
      <c r="AO124" s="2" t="n">
        <v>5.99</v>
      </c>
      <c r="AP124" s="23" t="n">
        <v>17.47</v>
      </c>
      <c r="AQ124" s="33" t="n">
        <v>199.9</v>
      </c>
      <c r="AR124" s="35" t="n">
        <f aca="false">AQ124*0.5</f>
        <v>99.95</v>
      </c>
      <c r="AS124" s="46" t="n">
        <v>0</v>
      </c>
      <c r="AT124" s="33" t="n">
        <v>6.62</v>
      </c>
      <c r="AU124" s="23" t="n">
        <v>17.6</v>
      </c>
      <c r="AV124" s="33" t="n">
        <v>256</v>
      </c>
      <c r="AW124" s="35" t="n">
        <f aca="false">AV124*0.5</f>
        <v>128</v>
      </c>
      <c r="AX124" s="34" t="n">
        <v>0.92</v>
      </c>
      <c r="AY124" s="46" t="n">
        <v>0</v>
      </c>
    </row>
    <row r="125" customFormat="false" ht="15" hidden="false" customHeight="false" outlineLevel="0" collapsed="false">
      <c r="A125" s="16" t="n">
        <v>45598</v>
      </c>
      <c r="B125" s="2" t="s">
        <v>51</v>
      </c>
      <c r="C125" s="32" t="n">
        <v>8.01</v>
      </c>
      <c r="D125" s="23" t="n">
        <v>16.4</v>
      </c>
      <c r="E125" s="33" t="n">
        <v>54.4</v>
      </c>
      <c r="F125" s="33" t="n">
        <f aca="false">E125*0.6</f>
        <v>32.64</v>
      </c>
      <c r="G125" s="33" t="n">
        <v>0.81</v>
      </c>
      <c r="H125" s="33" t="n">
        <v>8.01</v>
      </c>
      <c r="I125" s="23" t="n">
        <v>16.4</v>
      </c>
      <c r="J125" s="49"/>
      <c r="K125" s="49"/>
      <c r="L125" s="33" t="n">
        <v>1.13</v>
      </c>
      <c r="M125" s="33" t="n">
        <v>8.01</v>
      </c>
      <c r="N125" s="23" t="n">
        <v>16.4</v>
      </c>
      <c r="O125" s="49"/>
      <c r="P125" s="49"/>
      <c r="Q125" s="33" t="n">
        <v>1.22</v>
      </c>
      <c r="R125" s="33" t="n">
        <v>8</v>
      </c>
      <c r="S125" s="23" t="n">
        <v>17.2</v>
      </c>
      <c r="T125" s="49"/>
      <c r="U125" s="49"/>
      <c r="V125" s="46" t="n">
        <v>0</v>
      </c>
      <c r="W125" s="33" t="n">
        <v>8</v>
      </c>
      <c r="X125" s="23" t="n">
        <v>17.2</v>
      </c>
      <c r="Y125" s="49"/>
      <c r="Z125" s="49"/>
      <c r="AA125" s="46" t="n">
        <v>0</v>
      </c>
      <c r="AB125" s="33" t="n">
        <v>7.97</v>
      </c>
      <c r="AC125" s="23" t="n">
        <v>17.5</v>
      </c>
      <c r="AD125" s="33" t="n">
        <v>54.2</v>
      </c>
      <c r="AE125" s="33" t="n">
        <f aca="false">AD125*0.6</f>
        <v>32.52</v>
      </c>
      <c r="AF125" s="33"/>
      <c r="AG125" s="46" t="n">
        <v>0</v>
      </c>
      <c r="AH125" s="21"/>
      <c r="AI125" s="33" t="n">
        <v>7.97</v>
      </c>
      <c r="AJ125" s="23" t="n">
        <v>17.5</v>
      </c>
      <c r="AK125" s="33" t="n">
        <v>54.2</v>
      </c>
      <c r="AL125" s="33" t="n">
        <f aca="false">AK125*0.6</f>
        <v>32.52</v>
      </c>
      <c r="AM125" s="33"/>
      <c r="AN125" s="46" t="n">
        <v>0</v>
      </c>
      <c r="AO125" s="2" t="n">
        <v>5.84</v>
      </c>
      <c r="AP125" s="23" t="n">
        <v>16.6</v>
      </c>
      <c r="AQ125" s="33" t="n">
        <v>198.5</v>
      </c>
      <c r="AR125" s="33" t="n">
        <f aca="false">AQ125*0.5</f>
        <v>99.25</v>
      </c>
      <c r="AS125" s="46" t="n">
        <v>0</v>
      </c>
      <c r="AT125" s="33" t="n">
        <v>6.62</v>
      </c>
      <c r="AU125" s="23" t="n">
        <v>17.1</v>
      </c>
      <c r="AV125" s="33" t="n">
        <v>265</v>
      </c>
      <c r="AW125" s="33" t="n">
        <f aca="false">AV125*0.5</f>
        <v>132.5</v>
      </c>
      <c r="AX125" s="34" t="n">
        <v>0.89</v>
      </c>
      <c r="AY125" s="46" t="n">
        <v>0</v>
      </c>
    </row>
    <row r="126" customFormat="false" ht="15" hidden="false" customHeight="false" outlineLevel="0" collapsed="false">
      <c r="A126" s="16" t="n">
        <v>45598</v>
      </c>
      <c r="B126" s="2" t="s">
        <v>52</v>
      </c>
      <c r="C126" s="32" t="n">
        <v>8.02</v>
      </c>
      <c r="D126" s="23" t="n">
        <v>16.8</v>
      </c>
      <c r="E126" s="33" t="n">
        <v>54.6</v>
      </c>
      <c r="F126" s="33" t="n">
        <f aca="false">E126*0.6</f>
        <v>32.76</v>
      </c>
      <c r="G126" s="33" t="n">
        <v>0.22</v>
      </c>
      <c r="H126" s="33" t="n">
        <v>7.97</v>
      </c>
      <c r="I126" s="23" t="n">
        <v>16.6</v>
      </c>
      <c r="J126" s="50"/>
      <c r="K126" s="49"/>
      <c r="L126" s="33" t="n">
        <v>0.97</v>
      </c>
      <c r="M126" s="33" t="n">
        <v>7.97</v>
      </c>
      <c r="N126" s="23" t="n">
        <v>16.6</v>
      </c>
      <c r="O126" s="49"/>
      <c r="P126" s="49"/>
      <c r="Q126" s="33" t="n">
        <v>0.97</v>
      </c>
      <c r="R126" s="33" t="n">
        <v>7.9</v>
      </c>
      <c r="S126" s="23" t="n">
        <v>16.6</v>
      </c>
      <c r="T126" s="49"/>
      <c r="U126" s="49"/>
      <c r="V126" s="46" t="n">
        <v>0</v>
      </c>
      <c r="W126" s="33" t="n">
        <v>7.9</v>
      </c>
      <c r="X126" s="23" t="n">
        <v>16.6</v>
      </c>
      <c r="Y126" s="49"/>
      <c r="Z126" s="49"/>
      <c r="AA126" s="46" t="n">
        <v>0</v>
      </c>
      <c r="AB126" s="33" t="n">
        <v>7.94</v>
      </c>
      <c r="AC126" s="23" t="n">
        <v>16.5</v>
      </c>
      <c r="AD126" s="33" t="n">
        <v>54.6</v>
      </c>
      <c r="AE126" s="33" t="n">
        <f aca="false">AD126*0.6</f>
        <v>32.76</v>
      </c>
      <c r="AF126" s="33"/>
      <c r="AG126" s="46" t="n">
        <v>0</v>
      </c>
      <c r="AH126" s="21"/>
      <c r="AI126" s="33" t="n">
        <v>7.94</v>
      </c>
      <c r="AJ126" s="23" t="n">
        <v>16.5</v>
      </c>
      <c r="AK126" s="33" t="n">
        <v>54.6</v>
      </c>
      <c r="AL126" s="33" t="n">
        <f aca="false">AK126*0.6</f>
        <v>32.76</v>
      </c>
      <c r="AM126" s="33"/>
      <c r="AN126" s="46" t="n">
        <v>0</v>
      </c>
      <c r="AO126" s="2" t="n">
        <v>5.9</v>
      </c>
      <c r="AP126" s="23" t="n">
        <v>17</v>
      </c>
      <c r="AQ126" s="33" t="n">
        <v>201</v>
      </c>
      <c r="AR126" s="35" t="n">
        <f aca="false">AQ126*0.5</f>
        <v>100.5</v>
      </c>
      <c r="AS126" s="46" t="n">
        <v>0</v>
      </c>
      <c r="AT126" s="33" t="n">
        <v>7.7</v>
      </c>
      <c r="AU126" s="23" t="n">
        <v>17.5</v>
      </c>
      <c r="AV126" s="33" t="n">
        <v>267</v>
      </c>
      <c r="AW126" s="35" t="n">
        <f aca="false">AV126*0.5</f>
        <v>133.5</v>
      </c>
      <c r="AX126" s="34"/>
      <c r="AY126" s="46" t="n">
        <v>0</v>
      </c>
    </row>
    <row r="127" customFormat="false" ht="15" hidden="false" customHeight="false" outlineLevel="0" collapsed="false">
      <c r="A127" s="16" t="n">
        <v>45598</v>
      </c>
      <c r="B127" s="2" t="s">
        <v>57</v>
      </c>
      <c r="C127" s="32" t="n">
        <v>8.03</v>
      </c>
      <c r="D127" s="23" t="n">
        <v>16.8</v>
      </c>
      <c r="E127" s="33" t="n">
        <v>54.4</v>
      </c>
      <c r="F127" s="33" t="n">
        <f aca="false">E127*0.6</f>
        <v>32.64</v>
      </c>
      <c r="G127" s="33" t="n">
        <v>1.05</v>
      </c>
      <c r="H127" s="33" t="n">
        <v>8</v>
      </c>
      <c r="I127" s="23" t="n">
        <v>17</v>
      </c>
      <c r="J127" s="49"/>
      <c r="K127" s="49"/>
      <c r="L127" s="33" t="n">
        <v>0.89</v>
      </c>
      <c r="M127" s="33" t="n">
        <v>8</v>
      </c>
      <c r="N127" s="23" t="n">
        <v>17</v>
      </c>
      <c r="O127" s="49"/>
      <c r="P127" s="49"/>
      <c r="Q127" s="33" t="n">
        <v>0.92</v>
      </c>
      <c r="R127" s="33" t="n">
        <v>7.99</v>
      </c>
      <c r="S127" s="23" t="n">
        <v>17.2</v>
      </c>
      <c r="T127" s="49"/>
      <c r="U127" s="49"/>
      <c r="V127" s="46" t="n">
        <v>0</v>
      </c>
      <c r="W127" s="33" t="n">
        <v>7.99</v>
      </c>
      <c r="X127" s="23" t="n">
        <v>17.2</v>
      </c>
      <c r="Y127" s="49"/>
      <c r="Z127" s="49"/>
      <c r="AA127" s="46" t="n">
        <v>0</v>
      </c>
      <c r="AB127" s="33" t="n">
        <v>7.96</v>
      </c>
      <c r="AC127" s="23" t="n">
        <v>17.3</v>
      </c>
      <c r="AD127" s="33" t="n">
        <v>54.2</v>
      </c>
      <c r="AE127" s="33" t="n">
        <f aca="false">AD127*0.6</f>
        <v>32.52</v>
      </c>
      <c r="AF127" s="33"/>
      <c r="AG127" s="46" t="n">
        <v>0</v>
      </c>
      <c r="AH127" s="45"/>
      <c r="AI127" s="33" t="n">
        <v>7.96</v>
      </c>
      <c r="AJ127" s="23" t="n">
        <v>17.3</v>
      </c>
      <c r="AK127" s="33" t="n">
        <v>54.2</v>
      </c>
      <c r="AL127" s="33" t="n">
        <f aca="false">AK127*0.6</f>
        <v>32.52</v>
      </c>
      <c r="AM127" s="33"/>
      <c r="AN127" s="46" t="n">
        <v>0</v>
      </c>
      <c r="AO127" s="2" t="n">
        <v>5.81</v>
      </c>
      <c r="AP127" s="23" t="n">
        <v>17</v>
      </c>
      <c r="AQ127" s="33" t="n">
        <v>195.4</v>
      </c>
      <c r="AR127" s="35" t="n">
        <f aca="false">AQ127*0.5</f>
        <v>97.7</v>
      </c>
      <c r="AS127" s="46" t="n">
        <v>0</v>
      </c>
      <c r="AT127" s="33" t="n">
        <v>6.86</v>
      </c>
      <c r="AU127" s="23" t="n">
        <v>17.2</v>
      </c>
      <c r="AV127" s="33" t="n">
        <v>268</v>
      </c>
      <c r="AW127" s="35" t="n">
        <f aca="false">AV127*0.5</f>
        <v>134</v>
      </c>
      <c r="AX127" s="34" t="n">
        <v>1</v>
      </c>
      <c r="AY127" s="46" t="n">
        <v>0</v>
      </c>
    </row>
    <row r="128" customFormat="false" ht="15" hidden="false" customHeight="false" outlineLevel="0" collapsed="false">
      <c r="A128" s="16" t="n">
        <v>45628</v>
      </c>
      <c r="B128" s="2" t="s">
        <v>51</v>
      </c>
      <c r="C128" s="32" t="n">
        <v>8.01</v>
      </c>
      <c r="D128" s="23" t="n">
        <v>17.1</v>
      </c>
      <c r="E128" s="33" t="n">
        <v>53.9</v>
      </c>
      <c r="F128" s="33" t="n">
        <f aca="false">E128*0.6</f>
        <v>32.34</v>
      </c>
      <c r="G128" s="33" t="n">
        <v>1.16</v>
      </c>
      <c r="H128" s="48"/>
      <c r="I128" s="48"/>
      <c r="J128" s="48"/>
      <c r="K128" s="48"/>
      <c r="L128" s="48"/>
      <c r="M128" s="33" t="n">
        <v>8.01</v>
      </c>
      <c r="N128" s="33" t="n">
        <v>17.1</v>
      </c>
      <c r="O128" s="49"/>
      <c r="P128" s="49"/>
      <c r="Q128" s="33" t="n">
        <v>1.57</v>
      </c>
      <c r="R128" s="33"/>
      <c r="S128" s="23"/>
      <c r="T128" s="49"/>
      <c r="U128" s="49"/>
      <c r="V128" s="46" t="n">
        <v>0</v>
      </c>
      <c r="W128" s="33" t="n">
        <v>8</v>
      </c>
      <c r="X128" s="23" t="n">
        <v>17.2</v>
      </c>
      <c r="Y128" s="49"/>
      <c r="Z128" s="49"/>
      <c r="AA128" s="46" t="n">
        <v>0</v>
      </c>
      <c r="AB128" s="33" t="n">
        <v>7.96</v>
      </c>
      <c r="AC128" s="23" t="n">
        <v>17.3</v>
      </c>
      <c r="AD128" s="33" t="n">
        <v>53.6</v>
      </c>
      <c r="AE128" s="33" t="n">
        <f aca="false">AD128*0.6</f>
        <v>32.16</v>
      </c>
      <c r="AF128" s="33"/>
      <c r="AG128" s="46" t="n">
        <v>0</v>
      </c>
      <c r="AH128" s="21"/>
      <c r="AI128" s="33" t="n">
        <v>7.96</v>
      </c>
      <c r="AJ128" s="23" t="n">
        <v>17.3</v>
      </c>
      <c r="AK128" s="33" t="n">
        <v>53.65</v>
      </c>
      <c r="AL128" s="33" t="n">
        <f aca="false">AK128*0.6</f>
        <v>32.19</v>
      </c>
      <c r="AM128" s="33"/>
      <c r="AN128" s="46" t="n">
        <v>0</v>
      </c>
      <c r="AO128" s="2" t="n">
        <v>6.05</v>
      </c>
      <c r="AP128" s="23" t="n">
        <v>16.7</v>
      </c>
      <c r="AQ128" s="33" t="n">
        <v>176.3</v>
      </c>
      <c r="AR128" s="33" t="n">
        <f aca="false">AQ128*0.5</f>
        <v>88.15</v>
      </c>
      <c r="AS128" s="46" t="n">
        <v>0</v>
      </c>
      <c r="AT128" s="33" t="n">
        <v>6.87</v>
      </c>
      <c r="AU128" s="23" t="n">
        <v>17.3</v>
      </c>
      <c r="AV128" s="33" t="n">
        <v>265</v>
      </c>
      <c r="AW128" s="33" t="n">
        <f aca="false">AV128*0.5</f>
        <v>132.5</v>
      </c>
      <c r="AX128" s="34" t="n">
        <v>1.23</v>
      </c>
      <c r="AY128" s="46" t="n">
        <v>0</v>
      </c>
    </row>
    <row r="129" customFormat="false" ht="15" hidden="false" customHeight="false" outlineLevel="0" collapsed="false">
      <c r="A129" s="16" t="n">
        <v>45628</v>
      </c>
      <c r="B129" s="2" t="s">
        <v>52</v>
      </c>
      <c r="C129" s="32" t="n">
        <v>8.01</v>
      </c>
      <c r="D129" s="23" t="n">
        <v>17.5</v>
      </c>
      <c r="E129" s="33" t="n">
        <v>54.5</v>
      </c>
      <c r="F129" s="33" t="n">
        <f aca="false">E129*0.6</f>
        <v>32.7</v>
      </c>
      <c r="G129" s="33" t="n">
        <v>1.34</v>
      </c>
      <c r="H129" s="48"/>
      <c r="I129" s="48"/>
      <c r="J129" s="48"/>
      <c r="K129" s="48"/>
      <c r="L129" s="48"/>
      <c r="M129" s="33" t="n">
        <v>7.97</v>
      </c>
      <c r="N129" s="23" t="n">
        <v>16.9</v>
      </c>
      <c r="O129" s="49"/>
      <c r="P129" s="49"/>
      <c r="Q129" s="33" t="n">
        <v>1.06</v>
      </c>
      <c r="R129" s="33"/>
      <c r="S129" s="23"/>
      <c r="T129" s="49"/>
      <c r="U129" s="49"/>
      <c r="V129" s="46" t="n">
        <v>0</v>
      </c>
      <c r="W129" s="33" t="n">
        <v>7.93</v>
      </c>
      <c r="X129" s="23" t="n">
        <v>16.8</v>
      </c>
      <c r="Y129" s="49"/>
      <c r="Z129" s="49"/>
      <c r="AA129" s="46" t="n">
        <v>0</v>
      </c>
      <c r="AB129" s="48"/>
      <c r="AC129" s="48"/>
      <c r="AD129" s="48"/>
      <c r="AE129" s="48"/>
      <c r="AF129" s="48"/>
      <c r="AG129" s="48"/>
      <c r="AH129" s="21"/>
      <c r="AI129" s="48"/>
      <c r="AJ129" s="48"/>
      <c r="AK129" s="48"/>
      <c r="AL129" s="48"/>
      <c r="AM129" s="48"/>
      <c r="AN129" s="48"/>
      <c r="AO129" s="2" t="n">
        <v>6.6</v>
      </c>
      <c r="AP129" s="23" t="n">
        <v>17.5</v>
      </c>
      <c r="AQ129" s="33" t="n">
        <v>183.4</v>
      </c>
      <c r="AR129" s="35" t="n">
        <f aca="false">AQ129*0.5</f>
        <v>91.7</v>
      </c>
      <c r="AS129" s="46" t="n">
        <v>0</v>
      </c>
      <c r="AT129" s="33" t="n">
        <v>7.01</v>
      </c>
      <c r="AU129" s="23" t="n">
        <v>17.3</v>
      </c>
      <c r="AV129" s="33" t="n">
        <v>263</v>
      </c>
      <c r="AW129" s="35" t="n">
        <f aca="false">AV129*0.5</f>
        <v>131.5</v>
      </c>
      <c r="AX129" s="34" t="n">
        <v>0.95</v>
      </c>
      <c r="AY129" s="46" t="n">
        <v>0</v>
      </c>
    </row>
    <row r="130" customFormat="false" ht="15" hidden="false" customHeight="false" outlineLevel="0" collapsed="false">
      <c r="A130" s="16" t="n">
        <v>45628</v>
      </c>
      <c r="B130" s="2" t="s">
        <v>57</v>
      </c>
      <c r="C130" s="32" t="n">
        <v>8.15</v>
      </c>
      <c r="D130" s="23" t="n">
        <v>19</v>
      </c>
      <c r="E130" s="33" t="n">
        <v>54.2</v>
      </c>
      <c r="F130" s="33" t="n">
        <f aca="false">E130*0.6</f>
        <v>32.52</v>
      </c>
      <c r="G130" s="33" t="n">
        <v>1.25</v>
      </c>
      <c r="H130" s="33" t="n">
        <v>8.12</v>
      </c>
      <c r="I130" s="23" t="n">
        <v>17.3</v>
      </c>
      <c r="J130" s="49"/>
      <c r="K130" s="49"/>
      <c r="L130" s="33" t="n">
        <v>0.96</v>
      </c>
      <c r="M130" s="33" t="n">
        <v>8.12</v>
      </c>
      <c r="N130" s="23" t="n">
        <v>17.3</v>
      </c>
      <c r="O130" s="49"/>
      <c r="P130" s="49"/>
      <c r="Q130" s="33" t="n">
        <v>1.1</v>
      </c>
      <c r="R130" s="33" t="n">
        <v>8.1</v>
      </c>
      <c r="S130" s="23" t="n">
        <v>17.5</v>
      </c>
      <c r="T130" s="49"/>
      <c r="U130" s="49"/>
      <c r="V130" s="46" t="n">
        <v>0</v>
      </c>
      <c r="W130" s="33" t="n">
        <v>8.1</v>
      </c>
      <c r="X130" s="23" t="n">
        <v>17.4</v>
      </c>
      <c r="Y130" s="49"/>
      <c r="Z130" s="49"/>
      <c r="AA130" s="46" t="n">
        <v>0</v>
      </c>
      <c r="AB130" s="33" t="n">
        <v>8.06</v>
      </c>
      <c r="AC130" s="23" t="n">
        <v>17.5</v>
      </c>
      <c r="AD130" s="33" t="n">
        <v>54.1</v>
      </c>
      <c r="AE130" s="33" t="n">
        <f aca="false">AD130*0.6</f>
        <v>32.46</v>
      </c>
      <c r="AF130" s="33"/>
      <c r="AG130" s="46" t="n">
        <v>0</v>
      </c>
      <c r="AH130" s="45"/>
      <c r="AI130" s="48"/>
      <c r="AJ130" s="48"/>
      <c r="AK130" s="48"/>
      <c r="AL130" s="48"/>
      <c r="AM130" s="48"/>
      <c r="AN130" s="48"/>
      <c r="AO130" s="2" t="n">
        <v>6.26</v>
      </c>
      <c r="AP130" s="23" t="n">
        <v>17.8</v>
      </c>
      <c r="AQ130" s="33" t="n">
        <v>188.6</v>
      </c>
      <c r="AR130" s="35" t="n">
        <f aca="false">AQ130*0.5</f>
        <v>94.3</v>
      </c>
      <c r="AS130" s="46" t="n">
        <v>0</v>
      </c>
      <c r="AT130" s="33" t="n">
        <v>7.11</v>
      </c>
      <c r="AU130" s="23" t="n">
        <v>17.8</v>
      </c>
      <c r="AV130" s="33" t="n">
        <v>268</v>
      </c>
      <c r="AW130" s="35" t="n">
        <f aca="false">AV130*0.5</f>
        <v>134</v>
      </c>
      <c r="AX130" s="34"/>
      <c r="AY130" s="46" t="n">
        <v>0</v>
      </c>
    </row>
    <row r="131" customFormat="false" ht="15" hidden="false" customHeight="false" outlineLevel="0" collapsed="false">
      <c r="A131" s="16" t="s">
        <v>59</v>
      </c>
      <c r="B131" s="2" t="s">
        <v>51</v>
      </c>
      <c r="C131" s="32" t="n">
        <v>8.12</v>
      </c>
      <c r="D131" s="23" t="n">
        <v>17.8</v>
      </c>
      <c r="E131" s="33" t="n">
        <v>54</v>
      </c>
      <c r="F131" s="33" t="n">
        <f aca="false">E131*0.6</f>
        <v>32.4</v>
      </c>
      <c r="G131" s="33" t="n">
        <v>0.76</v>
      </c>
      <c r="H131" s="48"/>
      <c r="I131" s="48"/>
      <c r="J131" s="48"/>
      <c r="K131" s="48"/>
      <c r="L131" s="48"/>
      <c r="M131" s="33" t="n">
        <v>8.11</v>
      </c>
      <c r="N131" s="23" t="n">
        <v>17.8</v>
      </c>
      <c r="O131" s="49"/>
      <c r="P131" s="49"/>
      <c r="Q131" s="33" t="n">
        <v>1.38</v>
      </c>
      <c r="R131" s="48"/>
      <c r="S131" s="48"/>
      <c r="T131" s="48"/>
      <c r="U131" s="48"/>
      <c r="V131" s="48"/>
      <c r="W131" s="33" t="n">
        <v>8.09</v>
      </c>
      <c r="X131" s="23" t="n">
        <v>17.6</v>
      </c>
      <c r="Y131" s="49"/>
      <c r="Z131" s="49"/>
      <c r="AA131" s="46" t="n">
        <v>0</v>
      </c>
      <c r="AB131" s="33" t="n">
        <v>8.05</v>
      </c>
      <c r="AC131" s="23" t="n">
        <v>17.4</v>
      </c>
      <c r="AD131" s="33" t="n">
        <v>53.9</v>
      </c>
      <c r="AE131" s="33" t="n">
        <f aca="false">AD131*0.6</f>
        <v>32.34</v>
      </c>
      <c r="AF131" s="33"/>
      <c r="AG131" s="46" t="n">
        <v>0</v>
      </c>
      <c r="AH131" s="21"/>
      <c r="AI131" s="33"/>
      <c r="AJ131" s="23"/>
      <c r="AK131" s="33"/>
      <c r="AL131" s="33" t="n">
        <f aca="false">AK131*0.6</f>
        <v>0</v>
      </c>
      <c r="AM131" s="33"/>
      <c r="AN131" s="46" t="n">
        <v>0</v>
      </c>
      <c r="AO131" s="2" t="n">
        <v>6.1</v>
      </c>
      <c r="AP131" s="23" t="n">
        <v>17.3</v>
      </c>
      <c r="AQ131" s="33" t="n">
        <v>178.3</v>
      </c>
      <c r="AR131" s="33" t="n">
        <f aca="false">AQ131*0.5</f>
        <v>89.15</v>
      </c>
      <c r="AS131" s="46" t="n">
        <v>0</v>
      </c>
      <c r="AT131" s="33" t="n">
        <v>7.26</v>
      </c>
      <c r="AU131" s="23" t="n">
        <v>17.6</v>
      </c>
      <c r="AV131" s="33" t="n">
        <v>286</v>
      </c>
      <c r="AW131" s="33" t="n">
        <f aca="false">AV131*0.5</f>
        <v>143</v>
      </c>
      <c r="AX131" s="34" t="n">
        <v>1</v>
      </c>
      <c r="AY131" s="46" t="n">
        <v>0</v>
      </c>
    </row>
    <row r="132" customFormat="false" ht="15" hidden="false" customHeight="false" outlineLevel="0" collapsed="false">
      <c r="A132" s="16" t="s">
        <v>59</v>
      </c>
      <c r="B132" s="2" t="s">
        <v>52</v>
      </c>
      <c r="C132" s="32" t="n">
        <v>8.15</v>
      </c>
      <c r="D132" s="23" t="n">
        <v>18.2</v>
      </c>
      <c r="E132" s="33" t="n">
        <v>54.3</v>
      </c>
      <c r="F132" s="33" t="n">
        <f aca="false">E132*0.6</f>
        <v>32.58</v>
      </c>
      <c r="G132" s="33" t="n">
        <v>0.31</v>
      </c>
      <c r="H132" s="48"/>
      <c r="I132" s="48"/>
      <c r="J132" s="48"/>
      <c r="K132" s="48"/>
      <c r="L132" s="48"/>
      <c r="M132" s="33" t="n">
        <v>8.1</v>
      </c>
      <c r="N132" s="23" t="n">
        <v>17.4</v>
      </c>
      <c r="O132" s="49"/>
      <c r="P132" s="49"/>
      <c r="Q132" s="33" t="n">
        <v>0.67</v>
      </c>
      <c r="R132" s="48"/>
      <c r="S132" s="48"/>
      <c r="T132" s="48"/>
      <c r="U132" s="48"/>
      <c r="V132" s="48"/>
      <c r="W132" s="33" t="n">
        <v>8.09</v>
      </c>
      <c r="X132" s="23" t="n">
        <v>17.2</v>
      </c>
      <c r="Y132" s="49"/>
      <c r="Z132" s="49"/>
      <c r="AA132" s="46" t="n">
        <v>0</v>
      </c>
      <c r="AB132" s="33" t="n">
        <v>8.08</v>
      </c>
      <c r="AC132" s="23" t="n">
        <v>17.4</v>
      </c>
      <c r="AD132" s="33" t="n">
        <v>54.3</v>
      </c>
      <c r="AE132" s="33" t="n">
        <f aca="false">AD132*0.6</f>
        <v>32.58</v>
      </c>
      <c r="AF132" s="33"/>
      <c r="AG132" s="46" t="n">
        <v>0</v>
      </c>
      <c r="AH132" s="33"/>
      <c r="AI132" s="33" t="n">
        <v>8.03</v>
      </c>
      <c r="AJ132" s="23" t="n">
        <v>17</v>
      </c>
      <c r="AK132" s="33" t="n">
        <v>54.3</v>
      </c>
      <c r="AL132" s="33" t="n">
        <f aca="false">AK132*0.6</f>
        <v>32.58</v>
      </c>
      <c r="AM132" s="33"/>
      <c r="AN132" s="46" t="n">
        <v>0</v>
      </c>
      <c r="AO132" s="2" t="n">
        <v>6.08</v>
      </c>
      <c r="AP132" s="23" t="n">
        <v>17.7</v>
      </c>
      <c r="AQ132" s="33" t="n">
        <v>203</v>
      </c>
      <c r="AR132" s="35" t="n">
        <f aca="false">AQ132*0.5</f>
        <v>101.5</v>
      </c>
      <c r="AS132" s="46" t="n">
        <v>0</v>
      </c>
      <c r="AT132" s="33" t="n">
        <v>7.06</v>
      </c>
      <c r="AU132" s="23" t="n">
        <v>17.8</v>
      </c>
      <c r="AV132" s="33" t="n">
        <v>268</v>
      </c>
      <c r="AW132" s="35" t="n">
        <f aca="false">AV132*0.5</f>
        <v>134</v>
      </c>
      <c r="AX132" s="34"/>
      <c r="AY132" s="46" t="n">
        <v>0</v>
      </c>
    </row>
    <row r="133" customFormat="false" ht="15" hidden="false" customHeight="false" outlineLevel="0" collapsed="false">
      <c r="A133" s="16" t="s">
        <v>59</v>
      </c>
      <c r="B133" s="2" t="s">
        <v>57</v>
      </c>
      <c r="C133" s="32" t="n">
        <v>8.13</v>
      </c>
      <c r="D133" s="23" t="n">
        <v>18.2</v>
      </c>
      <c r="E133" s="33" t="n">
        <v>54.3</v>
      </c>
      <c r="F133" s="33" t="n">
        <f aca="false">E133*0.6</f>
        <v>32.58</v>
      </c>
      <c r="G133" s="33" t="n">
        <v>0.4</v>
      </c>
      <c r="H133" s="48"/>
      <c r="I133" s="48"/>
      <c r="J133" s="48"/>
      <c r="K133" s="48"/>
      <c r="L133" s="48"/>
      <c r="M133" s="33" t="n">
        <v>8.07</v>
      </c>
      <c r="N133" s="23" t="n">
        <v>18</v>
      </c>
      <c r="O133" s="49"/>
      <c r="P133" s="49"/>
      <c r="Q133" s="33" t="n">
        <v>0.92</v>
      </c>
      <c r="R133" s="48"/>
      <c r="S133" s="48"/>
      <c r="T133" s="48"/>
      <c r="U133" s="48"/>
      <c r="V133" s="48"/>
      <c r="W133" s="33" t="n">
        <v>8.06</v>
      </c>
      <c r="X133" s="23" t="n">
        <v>18</v>
      </c>
      <c r="Y133" s="49"/>
      <c r="Z133" s="49"/>
      <c r="AA133" s="46" t="n">
        <v>0</v>
      </c>
      <c r="AB133" s="33" t="n">
        <v>8.02</v>
      </c>
      <c r="AC133" s="23" t="n">
        <v>18.3</v>
      </c>
      <c r="AD133" s="33" t="n">
        <v>54.2</v>
      </c>
      <c r="AE133" s="33" t="n">
        <f aca="false">AD133*0.6</f>
        <v>32.52</v>
      </c>
      <c r="AF133" s="33"/>
      <c r="AG133" s="46" t="n">
        <v>0</v>
      </c>
      <c r="AH133" s="33"/>
      <c r="AI133" s="33" t="n">
        <v>8.03</v>
      </c>
      <c r="AJ133" s="23" t="n">
        <v>17.6</v>
      </c>
      <c r="AK133" s="33" t="n">
        <v>54.2</v>
      </c>
      <c r="AL133" s="33" t="n">
        <f aca="false">AK133*0.6</f>
        <v>32.52</v>
      </c>
      <c r="AM133" s="33"/>
      <c r="AN133" s="46" t="n">
        <v>0</v>
      </c>
      <c r="AO133" s="2" t="n">
        <v>6.23</v>
      </c>
      <c r="AP133" s="23" t="n">
        <v>17.9</v>
      </c>
      <c r="AQ133" s="33" t="n">
        <v>198.2</v>
      </c>
      <c r="AR133" s="35" t="n">
        <f aca="false">AQ133*0.5</f>
        <v>99.1</v>
      </c>
      <c r="AS133" s="46" t="n">
        <v>0</v>
      </c>
      <c r="AT133" s="33" t="n">
        <v>7.19</v>
      </c>
      <c r="AU133" s="23" t="n">
        <v>18.1</v>
      </c>
      <c r="AV133" s="33" t="n">
        <v>270</v>
      </c>
      <c r="AW133" s="35" t="n">
        <f aca="false">AV133*0.5</f>
        <v>135</v>
      </c>
      <c r="AX133" s="34" t="n">
        <v>0.99</v>
      </c>
      <c r="AY133" s="46" t="n">
        <v>0</v>
      </c>
    </row>
    <row r="134" customFormat="false" ht="15" hidden="false" customHeight="false" outlineLevel="0" collapsed="false">
      <c r="A134" s="16" t="s">
        <v>60</v>
      </c>
      <c r="B134" s="2" t="s">
        <v>51</v>
      </c>
      <c r="C134" s="32" t="n">
        <v>8.16</v>
      </c>
      <c r="D134" s="23" t="n">
        <v>17.3</v>
      </c>
      <c r="E134" s="33" t="n">
        <v>53.9</v>
      </c>
      <c r="F134" s="33" t="n">
        <f aca="false">E134*0.6</f>
        <v>32.34</v>
      </c>
      <c r="G134" s="33" t="n">
        <v>0.278</v>
      </c>
      <c r="H134" s="33" t="n">
        <v>8.11</v>
      </c>
      <c r="I134" s="33" t="n">
        <v>16.4</v>
      </c>
      <c r="J134" s="49"/>
      <c r="K134" s="49"/>
      <c r="L134" s="33" t="n">
        <v>0.97</v>
      </c>
      <c r="M134" s="33" t="n">
        <v>8.12</v>
      </c>
      <c r="N134" s="23" t="n">
        <v>17.3</v>
      </c>
      <c r="O134" s="49"/>
      <c r="P134" s="49"/>
      <c r="Q134" s="33" t="n">
        <v>1.13</v>
      </c>
      <c r="R134" s="33" t="n">
        <v>8.09</v>
      </c>
      <c r="S134" s="23" t="n">
        <v>16.3</v>
      </c>
      <c r="T134" s="49"/>
      <c r="U134" s="49"/>
      <c r="V134" s="46" t="n">
        <v>0</v>
      </c>
      <c r="W134" s="33" t="n">
        <v>8.1</v>
      </c>
      <c r="X134" s="23" t="n">
        <v>17.4</v>
      </c>
      <c r="Y134" s="49"/>
      <c r="Z134" s="49"/>
      <c r="AA134" s="46" t="n">
        <v>0</v>
      </c>
      <c r="AB134" s="33" t="n">
        <v>8.09</v>
      </c>
      <c r="AC134" s="23" t="n">
        <v>17.5</v>
      </c>
      <c r="AD134" s="33" t="n">
        <v>53.7</v>
      </c>
      <c r="AE134" s="33" t="n">
        <f aca="false">AD134*0.6</f>
        <v>32.22</v>
      </c>
      <c r="AF134" s="33"/>
      <c r="AG134" s="46" t="n">
        <v>0</v>
      </c>
      <c r="AH134" s="33"/>
      <c r="AI134" s="33" t="n">
        <v>8.09</v>
      </c>
      <c r="AJ134" s="23" t="n">
        <v>17.5</v>
      </c>
      <c r="AK134" s="33" t="n">
        <v>53.7</v>
      </c>
      <c r="AL134" s="33" t="n">
        <f aca="false">AK134*0.6</f>
        <v>32.22</v>
      </c>
      <c r="AM134" s="33"/>
      <c r="AN134" s="46" t="n">
        <v>0</v>
      </c>
      <c r="AO134" s="2" t="n">
        <v>6.45</v>
      </c>
      <c r="AP134" s="23" t="n">
        <v>17</v>
      </c>
      <c r="AQ134" s="33" t="n">
        <v>190.6</v>
      </c>
      <c r="AR134" s="33" t="n">
        <f aca="false">AQ134*0.5</f>
        <v>95.3</v>
      </c>
      <c r="AS134" s="46" t="n">
        <v>0</v>
      </c>
      <c r="AT134" s="33" t="n">
        <v>7.2</v>
      </c>
      <c r="AU134" s="23" t="n">
        <v>17.4</v>
      </c>
      <c r="AV134" s="33" t="n">
        <v>309</v>
      </c>
      <c r="AW134" s="33" t="n">
        <f aca="false">AV134*0.5</f>
        <v>154.5</v>
      </c>
      <c r="AX134" s="34" t="n">
        <v>0.82</v>
      </c>
      <c r="AY134" s="46" t="n">
        <v>0</v>
      </c>
    </row>
    <row r="135" customFormat="false" ht="15" hidden="false" customHeight="false" outlineLevel="0" collapsed="false">
      <c r="A135" s="16" t="s">
        <v>60</v>
      </c>
      <c r="B135" s="2" t="s">
        <v>52</v>
      </c>
      <c r="C135" s="32" t="n">
        <v>8.2</v>
      </c>
      <c r="D135" s="23" t="n">
        <v>17.7</v>
      </c>
      <c r="E135" s="33" t="n">
        <v>54.3</v>
      </c>
      <c r="F135" s="33" t="n">
        <f aca="false">E135*0.6</f>
        <v>32.58</v>
      </c>
      <c r="G135" s="33" t="n">
        <v>0.13</v>
      </c>
      <c r="H135" s="48"/>
      <c r="I135" s="48"/>
      <c r="J135" s="48"/>
      <c r="K135" s="48"/>
      <c r="L135" s="48"/>
      <c r="M135" s="33" t="n">
        <v>8.12</v>
      </c>
      <c r="N135" s="23" t="n">
        <v>17.1</v>
      </c>
      <c r="O135" s="49"/>
      <c r="P135" s="49"/>
      <c r="Q135" s="33" t="n">
        <v>0.95</v>
      </c>
      <c r="R135" s="33"/>
      <c r="S135" s="23"/>
      <c r="T135" s="49"/>
      <c r="U135" s="49"/>
      <c r="V135" s="46" t="n">
        <v>0</v>
      </c>
      <c r="W135" s="33" t="n">
        <v>8.1</v>
      </c>
      <c r="X135" s="23" t="n">
        <v>16.9</v>
      </c>
      <c r="Y135" s="49"/>
      <c r="Z135" s="49"/>
      <c r="AA135" s="46" t="n">
        <v>0</v>
      </c>
      <c r="AB135" s="33" t="n">
        <v>8.09</v>
      </c>
      <c r="AC135" s="23" t="n">
        <v>17</v>
      </c>
      <c r="AD135" s="33" t="n">
        <v>54.3</v>
      </c>
      <c r="AE135" s="33" t="n">
        <f aca="false">AD135*0.6</f>
        <v>32.58</v>
      </c>
      <c r="AF135" s="33"/>
      <c r="AG135" s="46" t="n">
        <v>0</v>
      </c>
      <c r="AH135" s="21"/>
      <c r="AI135" s="33" t="n">
        <v>8.09</v>
      </c>
      <c r="AJ135" s="23" t="n">
        <v>17</v>
      </c>
      <c r="AK135" s="33" t="n">
        <v>54.3</v>
      </c>
      <c r="AL135" s="33" t="n">
        <f aca="false">AK135*0.6</f>
        <v>32.58</v>
      </c>
      <c r="AM135" s="33"/>
      <c r="AN135" s="46" t="n">
        <v>0</v>
      </c>
      <c r="AO135" s="2" t="n">
        <v>6.4</v>
      </c>
      <c r="AP135" s="23" t="n">
        <v>17.5</v>
      </c>
      <c r="AQ135" s="33" t="n">
        <v>199.8</v>
      </c>
      <c r="AR135" s="35" t="n">
        <f aca="false">AQ135*0.5</f>
        <v>99.9</v>
      </c>
      <c r="AS135" s="46" t="n">
        <v>0</v>
      </c>
      <c r="AT135" s="33" t="n">
        <v>7.21</v>
      </c>
      <c r="AU135" s="23" t="n">
        <v>17.9</v>
      </c>
      <c r="AV135" s="33" t="n">
        <v>279</v>
      </c>
      <c r="AW135" s="35" t="n">
        <f aca="false">AV135*0.5</f>
        <v>139.5</v>
      </c>
      <c r="AX135" s="34"/>
      <c r="AY135" s="46" t="n">
        <v>0</v>
      </c>
    </row>
    <row r="136" customFormat="false" ht="15" hidden="false" customHeight="false" outlineLevel="0" collapsed="false">
      <c r="A136" s="16" t="s">
        <v>60</v>
      </c>
      <c r="B136" s="2" t="s">
        <v>57</v>
      </c>
      <c r="C136" s="32" t="n">
        <v>8.17</v>
      </c>
      <c r="D136" s="23" t="n">
        <v>18.6</v>
      </c>
      <c r="E136" s="33" t="n">
        <v>54.4</v>
      </c>
      <c r="F136" s="33" t="n">
        <f aca="false">E136*0.6</f>
        <v>32.64</v>
      </c>
      <c r="G136" s="33" t="n">
        <v>0.29</v>
      </c>
      <c r="H136" s="33" t="n">
        <v>8.1</v>
      </c>
      <c r="I136" s="23" t="n">
        <v>17.2</v>
      </c>
      <c r="J136" s="49"/>
      <c r="K136" s="49"/>
      <c r="L136" s="33" t="n">
        <v>1.09</v>
      </c>
      <c r="M136" s="33" t="n">
        <v>8.1</v>
      </c>
      <c r="N136" s="23" t="n">
        <v>17.2</v>
      </c>
      <c r="O136" s="49"/>
      <c r="P136" s="49"/>
      <c r="Q136" s="33" t="n">
        <v>0.96</v>
      </c>
      <c r="R136" s="33" t="n">
        <v>8.09</v>
      </c>
      <c r="S136" s="23" t="n">
        <v>17.3</v>
      </c>
      <c r="T136" s="49"/>
      <c r="U136" s="49"/>
      <c r="V136" s="46" t="n">
        <v>0</v>
      </c>
      <c r="W136" s="33" t="n">
        <v>8.09</v>
      </c>
      <c r="X136" s="23" t="n">
        <v>17.3</v>
      </c>
      <c r="Y136" s="49"/>
      <c r="Z136" s="49"/>
      <c r="AA136" s="46" t="n">
        <v>0</v>
      </c>
      <c r="AB136" s="33" t="n">
        <v>8.01</v>
      </c>
      <c r="AC136" s="23" t="n">
        <v>17.2</v>
      </c>
      <c r="AD136" s="33" t="n">
        <v>54.4</v>
      </c>
      <c r="AE136" s="33" t="n">
        <f aca="false">AD136*0.6</f>
        <v>32.64</v>
      </c>
      <c r="AF136" s="33"/>
      <c r="AG136" s="46" t="n">
        <v>0</v>
      </c>
      <c r="AH136" s="45"/>
      <c r="AI136" s="33" t="n">
        <v>8.01</v>
      </c>
      <c r="AJ136" s="23" t="n">
        <v>17.2</v>
      </c>
      <c r="AK136" s="33" t="n">
        <v>54.4</v>
      </c>
      <c r="AL136" s="33" t="n">
        <f aca="false">AK136*0.6</f>
        <v>32.64</v>
      </c>
      <c r="AM136" s="33"/>
      <c r="AN136" s="46" t="n">
        <v>0</v>
      </c>
      <c r="AO136" s="2" t="n">
        <v>6.18</v>
      </c>
      <c r="AP136" s="23" t="n">
        <v>17.5</v>
      </c>
      <c r="AQ136" s="33" t="n">
        <v>203</v>
      </c>
      <c r="AR136" s="35" t="n">
        <f aca="false">AQ136*0.5</f>
        <v>101.5</v>
      </c>
      <c r="AS136" s="46" t="n">
        <v>0</v>
      </c>
      <c r="AT136" s="33" t="n">
        <v>7.2</v>
      </c>
      <c r="AU136" s="23" t="n">
        <v>17.9</v>
      </c>
      <c r="AV136" s="33" t="n">
        <v>278</v>
      </c>
      <c r="AW136" s="35" t="n">
        <f aca="false">AV136*0.5</f>
        <v>139</v>
      </c>
      <c r="AX136" s="34" t="n">
        <v>1.04</v>
      </c>
      <c r="AY136" s="46" t="n">
        <v>0</v>
      </c>
    </row>
    <row r="137" customFormat="false" ht="15" hidden="false" customHeight="false" outlineLevel="0" collapsed="false">
      <c r="A137" s="16" t="s">
        <v>61</v>
      </c>
      <c r="B137" s="2" t="s">
        <v>51</v>
      </c>
      <c r="C137" s="32" t="n">
        <v>8.16</v>
      </c>
      <c r="D137" s="23" t="n">
        <v>19.1</v>
      </c>
      <c r="E137" s="33" t="n">
        <v>54.4</v>
      </c>
      <c r="F137" s="33" t="n">
        <f aca="false">E137*0.6</f>
        <v>32.64</v>
      </c>
      <c r="G137" s="33" t="n">
        <v>0.92</v>
      </c>
      <c r="H137" s="48"/>
      <c r="I137" s="48"/>
      <c r="J137" s="48"/>
      <c r="K137" s="48"/>
      <c r="L137" s="48"/>
      <c r="M137" s="33" t="n">
        <v>8.15</v>
      </c>
      <c r="N137" s="23" t="n">
        <v>19.5</v>
      </c>
      <c r="O137" s="49"/>
      <c r="P137" s="49"/>
      <c r="Q137" s="33" t="n">
        <v>1.47</v>
      </c>
      <c r="R137" s="33"/>
      <c r="S137" s="23"/>
      <c r="T137" s="49"/>
      <c r="U137" s="49"/>
      <c r="V137" s="46" t="n">
        <v>0</v>
      </c>
      <c r="W137" s="33" t="n">
        <v>8.14</v>
      </c>
      <c r="X137" s="23" t="n">
        <v>18.3</v>
      </c>
      <c r="Y137" s="49"/>
      <c r="Z137" s="49"/>
      <c r="AA137" s="46" t="n">
        <v>0</v>
      </c>
      <c r="AB137" s="33" t="n">
        <v>8.01</v>
      </c>
      <c r="AC137" s="23" t="n">
        <v>18.7</v>
      </c>
      <c r="AD137" s="33" t="n">
        <v>53.7</v>
      </c>
      <c r="AE137" s="33" t="n">
        <f aca="false">AD137*0.6</f>
        <v>32.22</v>
      </c>
      <c r="AF137" s="33"/>
      <c r="AG137" s="46" t="n">
        <v>0</v>
      </c>
      <c r="AH137" s="21"/>
      <c r="AI137" s="33" t="n">
        <v>8.01</v>
      </c>
      <c r="AJ137" s="23" t="n">
        <v>18.7</v>
      </c>
      <c r="AK137" s="33" t="n">
        <v>53.7</v>
      </c>
      <c r="AL137" s="33" t="n">
        <f aca="false">AK137*0.6</f>
        <v>32.22</v>
      </c>
      <c r="AM137" s="33"/>
      <c r="AN137" s="46" t="n">
        <v>0</v>
      </c>
      <c r="AO137" s="2" t="n">
        <v>6.21</v>
      </c>
      <c r="AP137" s="23" t="n">
        <v>19</v>
      </c>
      <c r="AQ137" s="33" t="n">
        <v>216</v>
      </c>
      <c r="AR137" s="33" t="n">
        <f aca="false">AQ137*0.5</f>
        <v>108</v>
      </c>
      <c r="AS137" s="46" t="n">
        <v>0</v>
      </c>
      <c r="AT137" s="33" t="n">
        <v>7.26</v>
      </c>
      <c r="AU137" s="23" t="n">
        <v>19.4</v>
      </c>
      <c r="AV137" s="33" t="n">
        <v>302</v>
      </c>
      <c r="AW137" s="33" t="n">
        <f aca="false">AV137*0.5</f>
        <v>151</v>
      </c>
      <c r="AX137" s="34" t="n">
        <v>1.1</v>
      </c>
      <c r="AY137" s="46" t="n">
        <v>0</v>
      </c>
    </row>
    <row r="138" customFormat="false" ht="15" hidden="false" customHeight="false" outlineLevel="0" collapsed="false">
      <c r="A138" s="16" t="s">
        <v>61</v>
      </c>
      <c r="B138" s="2" t="s">
        <v>52</v>
      </c>
      <c r="C138" s="32" t="n">
        <v>8.19</v>
      </c>
      <c r="D138" s="23" t="n">
        <v>18.2</v>
      </c>
      <c r="E138" s="33" t="n">
        <v>54.5</v>
      </c>
      <c r="F138" s="33" t="n">
        <f aca="false">E138*0.6</f>
        <v>32.7</v>
      </c>
      <c r="G138" s="33" t="n">
        <v>0.26</v>
      </c>
      <c r="H138" s="48"/>
      <c r="I138" s="48"/>
      <c r="J138" s="48"/>
      <c r="K138" s="48"/>
      <c r="L138" s="48"/>
      <c r="M138" s="33" t="n">
        <v>8.11</v>
      </c>
      <c r="N138" s="23" t="n">
        <v>17</v>
      </c>
      <c r="O138" s="49"/>
      <c r="P138" s="49"/>
      <c r="Q138" s="33" t="n">
        <v>0.89</v>
      </c>
      <c r="R138" s="33"/>
      <c r="S138" s="23"/>
      <c r="T138" s="49"/>
      <c r="U138" s="49"/>
      <c r="V138" s="46" t="n">
        <v>0</v>
      </c>
      <c r="W138" s="33" t="n">
        <v>8.1</v>
      </c>
      <c r="X138" s="23" t="n">
        <v>17</v>
      </c>
      <c r="Y138" s="49"/>
      <c r="Z138" s="49"/>
      <c r="AA138" s="46" t="n">
        <v>0</v>
      </c>
      <c r="AB138" s="33" t="n">
        <v>8.03</v>
      </c>
      <c r="AC138" s="23" t="n">
        <v>17.1</v>
      </c>
      <c r="AD138" s="33" t="n">
        <v>54.3</v>
      </c>
      <c r="AE138" s="33" t="n">
        <f aca="false">AD138*0.6</f>
        <v>32.58</v>
      </c>
      <c r="AF138" s="33"/>
      <c r="AG138" s="46" t="n">
        <v>0</v>
      </c>
      <c r="AH138" s="21"/>
      <c r="AI138" s="33" t="n">
        <v>8.03</v>
      </c>
      <c r="AJ138" s="23" t="n">
        <v>17.1</v>
      </c>
      <c r="AK138" s="33" t="n">
        <v>54.3</v>
      </c>
      <c r="AL138" s="33" t="n">
        <f aca="false">AK138*0.6</f>
        <v>32.58</v>
      </c>
      <c r="AM138" s="33"/>
      <c r="AN138" s="46" t="n">
        <v>0</v>
      </c>
      <c r="AO138" s="2" t="n">
        <v>6.2</v>
      </c>
      <c r="AP138" s="23" t="n">
        <v>17.7</v>
      </c>
      <c r="AQ138" s="33" t="n">
        <v>201</v>
      </c>
      <c r="AR138" s="35" t="n">
        <f aca="false">AQ138*0.5</f>
        <v>100.5</v>
      </c>
      <c r="AS138" s="46" t="n">
        <v>0</v>
      </c>
      <c r="AT138" s="33" t="n">
        <v>7.19</v>
      </c>
      <c r="AU138" s="23" t="n">
        <v>17.9</v>
      </c>
      <c r="AV138" s="33" t="n">
        <v>281</v>
      </c>
      <c r="AW138" s="35" t="n">
        <f aca="false">AV138*0.5</f>
        <v>140.5</v>
      </c>
      <c r="AX138" s="34"/>
      <c r="AY138" s="46" t="n">
        <v>0</v>
      </c>
    </row>
    <row r="139" customFormat="false" ht="15" hidden="false" customHeight="false" outlineLevel="0" collapsed="false">
      <c r="A139" s="16" t="s">
        <v>61</v>
      </c>
      <c r="B139" s="2" t="s">
        <v>57</v>
      </c>
      <c r="C139" s="32" t="n">
        <v>8.16</v>
      </c>
      <c r="D139" s="23" t="n">
        <v>20</v>
      </c>
      <c r="E139" s="33" t="n">
        <v>54.2</v>
      </c>
      <c r="F139" s="33" t="n">
        <f aca="false">E139*0.6</f>
        <v>32.52</v>
      </c>
      <c r="G139" s="33" t="n">
        <v>0.35</v>
      </c>
      <c r="H139" s="48"/>
      <c r="I139" s="48"/>
      <c r="J139" s="48"/>
      <c r="K139" s="48"/>
      <c r="L139" s="48"/>
      <c r="M139" s="33" t="n">
        <v>8.1</v>
      </c>
      <c r="N139" s="23" t="n">
        <v>19.1</v>
      </c>
      <c r="O139" s="49"/>
      <c r="P139" s="49"/>
      <c r="Q139" s="33" t="n">
        <v>0.62</v>
      </c>
      <c r="R139" s="33"/>
      <c r="S139" s="23"/>
      <c r="T139" s="49"/>
      <c r="U139" s="49"/>
      <c r="V139" s="46" t="n">
        <v>0</v>
      </c>
      <c r="W139" s="33" t="n">
        <v>8.08</v>
      </c>
      <c r="X139" s="23" t="n">
        <v>19</v>
      </c>
      <c r="Y139" s="49"/>
      <c r="Z139" s="49"/>
      <c r="AA139" s="46" t="n">
        <v>0</v>
      </c>
      <c r="AB139" s="33" t="n">
        <v>8.07</v>
      </c>
      <c r="AC139" s="23" t="n">
        <v>19.1</v>
      </c>
      <c r="AD139" s="33" t="n">
        <v>54.4</v>
      </c>
      <c r="AE139" s="33" t="n">
        <f aca="false">AD139*0.6</f>
        <v>32.64</v>
      </c>
      <c r="AF139" s="33"/>
      <c r="AG139" s="46" t="n">
        <v>0</v>
      </c>
      <c r="AH139" s="21"/>
      <c r="AI139" s="33" t="n">
        <v>8.07</v>
      </c>
      <c r="AJ139" s="23" t="n">
        <v>19.1</v>
      </c>
      <c r="AK139" s="33" t="n">
        <v>54.4</v>
      </c>
      <c r="AL139" s="33" t="n">
        <f aca="false">AK139*0.6</f>
        <v>32.64</v>
      </c>
      <c r="AM139" s="33"/>
      <c r="AN139" s="46" t="n">
        <v>0</v>
      </c>
      <c r="AO139" s="2" t="n">
        <v>6.19</v>
      </c>
      <c r="AP139" s="23" t="n">
        <v>17.6</v>
      </c>
      <c r="AQ139" s="33" t="n">
        <v>199.1</v>
      </c>
      <c r="AR139" s="35" t="n">
        <f aca="false">AQ139*0.5</f>
        <v>99.55</v>
      </c>
      <c r="AS139" s="46" t="n">
        <v>0</v>
      </c>
      <c r="AT139" s="33" t="n">
        <v>7.14</v>
      </c>
      <c r="AU139" s="23" t="n">
        <v>17.8</v>
      </c>
      <c r="AV139" s="33" t="n">
        <v>282</v>
      </c>
      <c r="AW139" s="35" t="n">
        <f aca="false">AV139*0.5</f>
        <v>141</v>
      </c>
      <c r="AX139" s="34"/>
      <c r="AY139" s="46" t="n">
        <v>0</v>
      </c>
    </row>
    <row r="140" customFormat="false" ht="15" hidden="false" customHeight="false" outlineLevel="0" collapsed="false">
      <c r="A140" s="16" t="s">
        <v>62</v>
      </c>
      <c r="B140" s="2" t="s">
        <v>51</v>
      </c>
      <c r="C140" s="47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</row>
    <row r="141" customFormat="false" ht="15" hidden="false" customHeight="false" outlineLevel="0" collapsed="false">
      <c r="A141" s="16" t="s">
        <v>62</v>
      </c>
      <c r="B141" s="2" t="s">
        <v>52</v>
      </c>
      <c r="C141" s="47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</row>
    <row r="142" customFormat="false" ht="15" hidden="false" customHeight="false" outlineLevel="0" collapsed="false">
      <c r="A142" s="16" t="s">
        <v>62</v>
      </c>
      <c r="B142" s="2" t="s">
        <v>57</v>
      </c>
      <c r="C142" s="47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</row>
    <row r="143" customFormat="false" ht="15" hidden="false" customHeight="false" outlineLevel="0" collapsed="false">
      <c r="A143" s="16" t="s">
        <v>63</v>
      </c>
      <c r="B143" s="2" t="s">
        <v>51</v>
      </c>
      <c r="C143" s="32" t="n">
        <v>8.1</v>
      </c>
      <c r="D143" s="23" t="n">
        <v>17</v>
      </c>
      <c r="E143" s="33" t="n">
        <v>54.3</v>
      </c>
      <c r="F143" s="33" t="n">
        <f aca="false">E143*0.6</f>
        <v>32.58</v>
      </c>
      <c r="G143" s="33" t="n">
        <v>0.45</v>
      </c>
      <c r="H143" s="48"/>
      <c r="I143" s="48"/>
      <c r="J143" s="48"/>
      <c r="K143" s="48"/>
      <c r="L143" s="48"/>
      <c r="M143" s="33" t="n">
        <v>8.1</v>
      </c>
      <c r="N143" s="23" t="n">
        <v>17</v>
      </c>
      <c r="O143" s="49"/>
      <c r="P143" s="49"/>
      <c r="Q143" s="33" t="n">
        <v>0.6</v>
      </c>
      <c r="R143" s="33" t="n">
        <v>8.05</v>
      </c>
      <c r="S143" s="23" t="n">
        <v>17</v>
      </c>
      <c r="T143" s="49"/>
      <c r="U143" s="49"/>
      <c r="V143" s="46" t="n">
        <v>0</v>
      </c>
      <c r="W143" s="33" t="n">
        <v>8.05</v>
      </c>
      <c r="X143" s="23" t="n">
        <v>17</v>
      </c>
      <c r="Y143" s="49"/>
      <c r="Z143" s="49"/>
      <c r="AA143" s="46" t="n">
        <v>0</v>
      </c>
      <c r="AB143" s="33" t="n">
        <v>8.01</v>
      </c>
      <c r="AC143" s="23" t="n">
        <v>17</v>
      </c>
      <c r="AD143" s="33" t="n">
        <v>54.2</v>
      </c>
      <c r="AE143" s="33" t="n">
        <f aca="false">AD143*0.6</f>
        <v>32.52</v>
      </c>
      <c r="AF143" s="33"/>
      <c r="AG143" s="46" t="n">
        <v>0</v>
      </c>
      <c r="AH143" s="21"/>
      <c r="AI143" s="33" t="n">
        <v>8.01</v>
      </c>
      <c r="AJ143" s="23" t="n">
        <v>17</v>
      </c>
      <c r="AK143" s="33" t="n">
        <v>54.2</v>
      </c>
      <c r="AL143" s="33" t="n">
        <f aca="false">AK143*0.6</f>
        <v>32.52</v>
      </c>
      <c r="AM143" s="33"/>
      <c r="AN143" s="46" t="n">
        <v>0</v>
      </c>
      <c r="AO143" s="2" t="n">
        <v>6.4</v>
      </c>
      <c r="AP143" s="23" t="n">
        <v>17.2</v>
      </c>
      <c r="AQ143" s="33" t="n">
        <v>202</v>
      </c>
      <c r="AR143" s="33" t="n">
        <f aca="false">AQ143*0.5</f>
        <v>101</v>
      </c>
      <c r="AS143" s="46" t="n">
        <v>0</v>
      </c>
      <c r="AT143" s="33" t="n">
        <v>7.2</v>
      </c>
      <c r="AU143" s="23" t="n">
        <v>17.4</v>
      </c>
      <c r="AV143" s="33" t="n">
        <v>277</v>
      </c>
      <c r="AW143" s="33" t="n">
        <f aca="false">AV143*0.5</f>
        <v>138.5</v>
      </c>
      <c r="AX143" s="34" t="n">
        <v>1.02</v>
      </c>
      <c r="AY143" s="46" t="n">
        <v>0</v>
      </c>
    </row>
    <row r="144" customFormat="false" ht="15" hidden="false" customHeight="false" outlineLevel="0" collapsed="false">
      <c r="A144" s="16" t="s">
        <v>63</v>
      </c>
      <c r="B144" s="2" t="s">
        <v>52</v>
      </c>
      <c r="C144" s="32" t="n">
        <v>8.04</v>
      </c>
      <c r="D144" s="23" t="n">
        <v>17.1</v>
      </c>
      <c r="E144" s="33" t="n">
        <v>54.4</v>
      </c>
      <c r="F144" s="33" t="n">
        <f aca="false">E144*0.6</f>
        <v>32.64</v>
      </c>
      <c r="G144" s="33" t="n">
        <v>0.32</v>
      </c>
      <c r="H144" s="48"/>
      <c r="I144" s="48"/>
      <c r="J144" s="48"/>
      <c r="K144" s="48"/>
      <c r="L144" s="48"/>
      <c r="M144" s="33" t="n">
        <v>8.01</v>
      </c>
      <c r="N144" s="23" t="n">
        <v>17</v>
      </c>
      <c r="O144" s="49"/>
      <c r="P144" s="49"/>
      <c r="Q144" s="33" t="n">
        <v>0.9</v>
      </c>
      <c r="R144" s="33" t="n">
        <v>8.01</v>
      </c>
      <c r="S144" s="23" t="n">
        <v>17</v>
      </c>
      <c r="T144" s="49"/>
      <c r="U144" s="49"/>
      <c r="V144" s="46" t="n">
        <v>0</v>
      </c>
      <c r="W144" s="33" t="n">
        <v>8.01</v>
      </c>
      <c r="X144" s="23" t="n">
        <v>17</v>
      </c>
      <c r="Y144" s="49"/>
      <c r="Z144" s="49"/>
      <c r="AA144" s="46" t="n">
        <v>0</v>
      </c>
      <c r="AB144" s="33" t="n">
        <v>8</v>
      </c>
      <c r="AC144" s="23" t="n">
        <v>17</v>
      </c>
      <c r="AD144" s="33" t="n">
        <v>54.4</v>
      </c>
      <c r="AE144" s="33" t="n">
        <f aca="false">AD144*0.6</f>
        <v>32.64</v>
      </c>
      <c r="AF144" s="33"/>
      <c r="AG144" s="46" t="n">
        <v>0</v>
      </c>
      <c r="AH144" s="21"/>
      <c r="AI144" s="33" t="n">
        <v>8</v>
      </c>
      <c r="AJ144" s="23" t="n">
        <v>17</v>
      </c>
      <c r="AK144" s="33" t="n">
        <v>54.4</v>
      </c>
      <c r="AL144" s="33" t="n">
        <f aca="false">AK144*0.6</f>
        <v>32.64</v>
      </c>
      <c r="AM144" s="33"/>
      <c r="AN144" s="46" t="n">
        <v>0</v>
      </c>
      <c r="AO144" s="2" t="n">
        <v>6.5</v>
      </c>
      <c r="AP144" s="23" t="n">
        <v>17.2</v>
      </c>
      <c r="AQ144" s="33" t="n">
        <v>201</v>
      </c>
      <c r="AR144" s="35" t="n">
        <f aca="false">AQ144*0.5</f>
        <v>100.5</v>
      </c>
      <c r="AS144" s="46" t="n">
        <v>0</v>
      </c>
      <c r="AT144" s="33" t="n">
        <v>7.5</v>
      </c>
      <c r="AU144" s="23" t="n">
        <v>17.3</v>
      </c>
      <c r="AV144" s="33" t="n">
        <v>287</v>
      </c>
      <c r="AW144" s="35" t="n">
        <f aca="false">AV144*0.5</f>
        <v>143.5</v>
      </c>
      <c r="AX144" s="34"/>
      <c r="AY144" s="46" t="n">
        <v>0</v>
      </c>
    </row>
    <row r="145" customFormat="false" ht="15" hidden="false" customHeight="false" outlineLevel="0" collapsed="false">
      <c r="A145" s="16" t="s">
        <v>63</v>
      </c>
      <c r="B145" s="2" t="s">
        <v>57</v>
      </c>
      <c r="C145" s="47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21"/>
      <c r="AI145" s="48"/>
      <c r="AJ145" s="48"/>
      <c r="AK145" s="48"/>
      <c r="AL145" s="48"/>
      <c r="AM145" s="48"/>
      <c r="AN145" s="48"/>
      <c r="AP145" s="48"/>
      <c r="AQ145" s="48"/>
      <c r="AR145" s="48"/>
      <c r="AS145" s="48"/>
      <c r="AT145" s="21"/>
      <c r="AU145" s="21"/>
      <c r="AV145" s="21"/>
      <c r="AW145" s="21"/>
      <c r="AX145" s="21"/>
      <c r="AY145" s="21"/>
    </row>
    <row r="146" customFormat="false" ht="15" hidden="false" customHeight="false" outlineLevel="0" collapsed="false">
      <c r="A146" s="16" t="s">
        <v>64</v>
      </c>
      <c r="B146" s="2" t="s">
        <v>51</v>
      </c>
      <c r="C146" s="32" t="n">
        <v>8.16</v>
      </c>
      <c r="D146" s="23" t="n">
        <v>18</v>
      </c>
      <c r="E146" s="33" t="n">
        <v>54.5</v>
      </c>
      <c r="F146" s="33" t="n">
        <f aca="false">E146*0.6</f>
        <v>32.7</v>
      </c>
      <c r="G146" s="33" t="n">
        <v>7.11</v>
      </c>
      <c r="H146" s="48"/>
      <c r="I146" s="48"/>
      <c r="J146" s="48"/>
      <c r="K146" s="48"/>
      <c r="L146" s="48"/>
      <c r="M146" s="33" t="n">
        <v>8.06</v>
      </c>
      <c r="N146" s="23" t="n">
        <v>17.6</v>
      </c>
      <c r="O146" s="49"/>
      <c r="P146" s="49"/>
      <c r="Q146" s="33" t="n">
        <v>7.07</v>
      </c>
      <c r="R146" s="48"/>
      <c r="S146" s="48"/>
      <c r="T146" s="48"/>
      <c r="U146" s="48"/>
      <c r="V146" s="48"/>
      <c r="W146" s="33" t="n">
        <v>8.04</v>
      </c>
      <c r="X146" s="23" t="n">
        <v>17.3</v>
      </c>
      <c r="Y146" s="49"/>
      <c r="Z146" s="49"/>
      <c r="AA146" s="46" t="n">
        <v>0.25</v>
      </c>
      <c r="AB146" s="33" t="n">
        <v>8.02</v>
      </c>
      <c r="AC146" s="23" t="n">
        <v>16.6</v>
      </c>
      <c r="AD146" s="33" t="n">
        <v>54.5</v>
      </c>
      <c r="AE146" s="33" t="n">
        <f aca="false">AD146*0.6</f>
        <v>32.7</v>
      </c>
      <c r="AF146" s="33"/>
      <c r="AG146" s="46" t="n">
        <v>0</v>
      </c>
      <c r="AH146" s="21"/>
      <c r="AI146" s="33" t="n">
        <v>8.02</v>
      </c>
      <c r="AJ146" s="23" t="n">
        <v>16.6</v>
      </c>
      <c r="AK146" s="33" t="n">
        <v>54.5</v>
      </c>
      <c r="AL146" s="33" t="n">
        <f aca="false">AK146*0.6</f>
        <v>32.7</v>
      </c>
      <c r="AM146" s="33"/>
      <c r="AN146" s="46" t="n">
        <v>0</v>
      </c>
      <c r="AO146" s="2" t="n">
        <v>6.06</v>
      </c>
      <c r="AP146" s="23" t="n">
        <v>17</v>
      </c>
      <c r="AQ146" s="33" t="n">
        <v>197.4</v>
      </c>
      <c r="AR146" s="33" t="n">
        <f aca="false">AQ146*0.5</f>
        <v>98.7</v>
      </c>
      <c r="AS146" s="46" t="n">
        <v>0</v>
      </c>
      <c r="AT146" s="33" t="n">
        <v>9.25</v>
      </c>
      <c r="AU146" s="23" t="n">
        <v>17.6</v>
      </c>
      <c r="AV146" s="33" t="n">
        <v>211</v>
      </c>
      <c r="AW146" s="33" t="n">
        <f aca="false">AV146*0.5</f>
        <v>105.5</v>
      </c>
      <c r="AX146" s="34"/>
      <c r="AY146" s="46" t="n">
        <v>0.14</v>
      </c>
    </row>
    <row r="147" customFormat="false" ht="15" hidden="false" customHeight="false" outlineLevel="0" collapsed="false">
      <c r="A147" s="16" t="s">
        <v>64</v>
      </c>
      <c r="B147" s="2" t="s">
        <v>52</v>
      </c>
      <c r="C147" s="32" t="n">
        <v>8.18</v>
      </c>
      <c r="D147" s="23" t="n">
        <v>17.8</v>
      </c>
      <c r="E147" s="33" t="n">
        <v>54.4</v>
      </c>
      <c r="F147" s="33" t="n">
        <f aca="false">E147*0.6</f>
        <v>32.64</v>
      </c>
      <c r="G147" s="33" t="n">
        <v>7.39</v>
      </c>
      <c r="H147" s="48"/>
      <c r="I147" s="48"/>
      <c r="J147" s="48"/>
      <c r="K147" s="48"/>
      <c r="L147" s="48"/>
      <c r="M147" s="33" t="n">
        <v>8.1</v>
      </c>
      <c r="N147" s="23" t="n">
        <v>17.9</v>
      </c>
      <c r="O147" s="49"/>
      <c r="P147" s="49"/>
      <c r="Q147" s="33" t="n">
        <v>7.87</v>
      </c>
      <c r="R147" s="48"/>
      <c r="S147" s="48"/>
      <c r="T147" s="48"/>
      <c r="U147" s="48"/>
      <c r="V147" s="48"/>
      <c r="W147" s="33" t="n">
        <v>8.1</v>
      </c>
      <c r="X147" s="23" t="n">
        <v>17.5</v>
      </c>
      <c r="Y147" s="49"/>
      <c r="Z147" s="49"/>
      <c r="AA147" s="46" t="n">
        <v>0.17</v>
      </c>
      <c r="AB147" s="33" t="n">
        <v>8.06</v>
      </c>
      <c r="AC147" s="23" t="n">
        <v>16.9</v>
      </c>
      <c r="AD147" s="33" t="n">
        <v>54.4</v>
      </c>
      <c r="AE147" s="33" t="n">
        <f aca="false">AD147*0.6</f>
        <v>32.64</v>
      </c>
      <c r="AF147" s="33"/>
      <c r="AG147" s="46" t="n">
        <v>0</v>
      </c>
      <c r="AH147" s="21"/>
      <c r="AI147" s="33" t="n">
        <v>8.06</v>
      </c>
      <c r="AJ147" s="23" t="n">
        <v>16.9</v>
      </c>
      <c r="AK147" s="33" t="n">
        <v>54.4</v>
      </c>
      <c r="AL147" s="33" t="n">
        <f aca="false">AK147*0.6</f>
        <v>32.64</v>
      </c>
      <c r="AM147" s="33"/>
      <c r="AN147" s="46" t="n">
        <v>0</v>
      </c>
      <c r="AO147" s="2" t="n">
        <v>6.23</v>
      </c>
      <c r="AP147" s="23" t="n">
        <v>17.7</v>
      </c>
      <c r="AQ147" s="33" t="n">
        <v>208</v>
      </c>
      <c r="AR147" s="35" t="n">
        <f aca="false">AQ147*0.5</f>
        <v>104</v>
      </c>
      <c r="AS147" s="46" t="n">
        <v>0</v>
      </c>
      <c r="AT147" s="33" t="n">
        <v>7.26</v>
      </c>
      <c r="AU147" s="23" t="n">
        <v>17.7</v>
      </c>
      <c r="AV147" s="33" t="n">
        <v>226</v>
      </c>
      <c r="AW147" s="35" t="n">
        <f aca="false">AV147*0.5</f>
        <v>113</v>
      </c>
      <c r="AX147" s="34" t="n">
        <v>0.84</v>
      </c>
      <c r="AY147" s="46" t="n">
        <v>0</v>
      </c>
    </row>
    <row r="148" customFormat="false" ht="15" hidden="false" customHeight="false" outlineLevel="0" collapsed="false">
      <c r="A148" s="16" t="s">
        <v>64</v>
      </c>
      <c r="B148" s="2" t="s">
        <v>57</v>
      </c>
      <c r="C148" s="32" t="n">
        <v>8.14</v>
      </c>
      <c r="D148" s="23" t="n">
        <v>18.5</v>
      </c>
      <c r="E148" s="33" t="n">
        <v>54.4</v>
      </c>
      <c r="F148" s="33" t="n">
        <f aca="false">E148*0.6</f>
        <v>32.64</v>
      </c>
      <c r="G148" s="33" t="n">
        <v>5.93</v>
      </c>
      <c r="H148" s="48"/>
      <c r="I148" s="48"/>
      <c r="J148" s="48"/>
      <c r="K148" s="48"/>
      <c r="L148" s="48"/>
      <c r="M148" s="33" t="n">
        <v>8.05</v>
      </c>
      <c r="N148" s="23" t="n">
        <v>18.5</v>
      </c>
      <c r="O148" s="49"/>
      <c r="P148" s="49"/>
      <c r="Q148" s="33" t="n">
        <v>6.77</v>
      </c>
      <c r="R148" s="33"/>
      <c r="S148" s="23"/>
      <c r="T148" s="49"/>
      <c r="U148" s="49"/>
      <c r="V148" s="46" t="n">
        <v>0</v>
      </c>
      <c r="W148" s="33" t="n">
        <v>8.04</v>
      </c>
      <c r="X148" s="23" t="n">
        <v>18.3</v>
      </c>
      <c r="Y148" s="49"/>
      <c r="Z148" s="49"/>
      <c r="AA148" s="46" t="n">
        <v>0</v>
      </c>
      <c r="AB148" s="33" t="n">
        <v>8</v>
      </c>
      <c r="AC148" s="23" t="n">
        <v>17.4</v>
      </c>
      <c r="AD148" s="33" t="n">
        <v>54.5</v>
      </c>
      <c r="AE148" s="33" t="n">
        <f aca="false">AD148*0.6</f>
        <v>32.7</v>
      </c>
      <c r="AF148" s="33"/>
      <c r="AG148" s="46" t="n">
        <v>0</v>
      </c>
      <c r="AH148" s="45"/>
      <c r="AI148" s="33" t="n">
        <v>8</v>
      </c>
      <c r="AJ148" s="23" t="n">
        <v>17.4</v>
      </c>
      <c r="AK148" s="33" t="n">
        <v>54.5</v>
      </c>
      <c r="AL148" s="33" t="n">
        <f aca="false">AK148*0.6</f>
        <v>32.7</v>
      </c>
      <c r="AM148" s="33"/>
      <c r="AN148" s="46" t="n">
        <v>0</v>
      </c>
      <c r="AO148" s="2" t="n">
        <v>6.29</v>
      </c>
      <c r="AP148" s="23" t="n">
        <v>17.8</v>
      </c>
      <c r="AQ148" s="33" t="n">
        <v>186.4</v>
      </c>
      <c r="AR148" s="35" t="n">
        <f aca="false">AQ148*0.5</f>
        <v>93.2</v>
      </c>
      <c r="AS148" s="46" t="n">
        <v>0</v>
      </c>
      <c r="AT148" s="33" t="n">
        <v>7.65</v>
      </c>
      <c r="AU148" s="23" t="n">
        <v>18</v>
      </c>
      <c r="AV148" s="33" t="n">
        <v>312</v>
      </c>
      <c r="AW148" s="35" t="n">
        <f aca="false">AV148*0.5</f>
        <v>156</v>
      </c>
      <c r="AX148" s="34"/>
      <c r="AY148" s="46" t="n">
        <v>0</v>
      </c>
    </row>
    <row r="149" customFormat="false" ht="15" hidden="false" customHeight="false" outlineLevel="0" collapsed="false">
      <c r="A149" s="16" t="s">
        <v>65</v>
      </c>
      <c r="B149" s="2" t="s">
        <v>51</v>
      </c>
      <c r="C149" s="32" t="n">
        <v>8.13</v>
      </c>
      <c r="D149" s="23" t="n">
        <v>16.7</v>
      </c>
      <c r="E149" s="33" t="n">
        <v>54.3</v>
      </c>
      <c r="F149" s="33" t="n">
        <f aca="false">E149*0.6</f>
        <v>32.58</v>
      </c>
      <c r="G149" s="46" t="n">
        <v>1.73</v>
      </c>
      <c r="H149" s="48"/>
      <c r="I149" s="48"/>
      <c r="J149" s="48"/>
      <c r="K149" s="48"/>
      <c r="L149" s="48"/>
      <c r="M149" s="33" t="n">
        <v>8.1</v>
      </c>
      <c r="N149" s="23" t="n">
        <v>16.8</v>
      </c>
      <c r="O149" s="49"/>
      <c r="P149" s="49"/>
      <c r="Q149" s="46" t="n">
        <v>2.68</v>
      </c>
      <c r="R149" s="21"/>
      <c r="S149" s="21"/>
      <c r="T149" s="48"/>
      <c r="U149" s="48"/>
      <c r="V149" s="21"/>
      <c r="W149" s="33" t="n">
        <v>8.09</v>
      </c>
      <c r="X149" s="23" t="n">
        <v>16.9</v>
      </c>
      <c r="Y149" s="49"/>
      <c r="Z149" s="49"/>
      <c r="AA149" s="46" t="n">
        <v>0.02</v>
      </c>
      <c r="AB149" s="33" t="n">
        <v>8.05</v>
      </c>
      <c r="AC149" s="23" t="n">
        <v>17</v>
      </c>
      <c r="AD149" s="33" t="n">
        <v>54.3</v>
      </c>
      <c r="AE149" s="33" t="n">
        <f aca="false">AD149*0.6</f>
        <v>32.58</v>
      </c>
      <c r="AF149" s="33"/>
      <c r="AG149" s="46" t="n">
        <v>0</v>
      </c>
      <c r="AH149" s="33"/>
      <c r="AI149" s="33" t="n">
        <v>8.05</v>
      </c>
      <c r="AJ149" s="23" t="n">
        <v>17</v>
      </c>
      <c r="AK149" s="33" t="n">
        <v>54.3</v>
      </c>
      <c r="AL149" s="33" t="n">
        <f aca="false">AK149*0.6</f>
        <v>32.58</v>
      </c>
      <c r="AM149" s="33"/>
      <c r="AN149" s="46" t="n">
        <v>0</v>
      </c>
      <c r="AO149" s="2" t="n">
        <v>6.24</v>
      </c>
      <c r="AP149" s="23" t="n">
        <v>17</v>
      </c>
      <c r="AQ149" s="33" t="n">
        <v>177.8</v>
      </c>
      <c r="AR149" s="33" t="n">
        <f aca="false">AQ149*0.5</f>
        <v>88.9</v>
      </c>
      <c r="AS149" s="46" t="n">
        <v>0</v>
      </c>
      <c r="AT149" s="33" t="n">
        <v>7.55</v>
      </c>
      <c r="AU149" s="23" t="n">
        <v>17.3</v>
      </c>
      <c r="AV149" s="33" t="n">
        <v>273</v>
      </c>
      <c r="AW149" s="33" t="n">
        <f aca="false">AV149*0.5</f>
        <v>136.5</v>
      </c>
      <c r="AX149" s="34"/>
      <c r="AY149" s="46" t="n">
        <v>0</v>
      </c>
    </row>
    <row r="150" customFormat="false" ht="15" hidden="false" customHeight="false" outlineLevel="0" collapsed="false">
      <c r="A150" s="16" t="s">
        <v>65</v>
      </c>
      <c r="B150" s="2" t="s">
        <v>52</v>
      </c>
      <c r="C150" s="32" t="n">
        <v>8.19</v>
      </c>
      <c r="D150" s="23" t="n">
        <v>17.4</v>
      </c>
      <c r="E150" s="33" t="n">
        <v>54.3</v>
      </c>
      <c r="F150" s="33" t="n">
        <f aca="false">E150*0.6</f>
        <v>32.58</v>
      </c>
      <c r="G150" s="33" t="n">
        <v>1.69</v>
      </c>
      <c r="H150" s="48"/>
      <c r="I150" s="48"/>
      <c r="J150" s="48"/>
      <c r="K150" s="48"/>
      <c r="L150" s="48"/>
      <c r="M150" s="33" t="n">
        <v>8.12</v>
      </c>
      <c r="N150" s="23" t="n">
        <v>17.5</v>
      </c>
      <c r="O150" s="49"/>
      <c r="P150" s="49"/>
      <c r="Q150" s="33" t="n">
        <v>2.39</v>
      </c>
      <c r="R150" s="21"/>
      <c r="S150" s="21"/>
      <c r="T150" s="48"/>
      <c r="U150" s="48"/>
      <c r="V150" s="21"/>
      <c r="W150" s="33" t="n">
        <v>8.1</v>
      </c>
      <c r="X150" s="23" t="n">
        <v>17.6</v>
      </c>
      <c r="Y150" s="49"/>
      <c r="Z150" s="49"/>
      <c r="AA150" s="46" t="n">
        <v>0.01</v>
      </c>
      <c r="AB150" s="33" t="n">
        <v>8.05</v>
      </c>
      <c r="AC150" s="23" t="n">
        <v>16.1</v>
      </c>
      <c r="AD150" s="33" t="n">
        <v>54.3</v>
      </c>
      <c r="AE150" s="33" t="n">
        <f aca="false">AD150*0.6</f>
        <v>32.58</v>
      </c>
      <c r="AF150" s="33"/>
      <c r="AG150" s="46" t="n">
        <v>0</v>
      </c>
      <c r="AH150" s="33"/>
      <c r="AI150" s="33" t="n">
        <v>8.03</v>
      </c>
      <c r="AJ150" s="23" t="n">
        <v>16.7</v>
      </c>
      <c r="AK150" s="33" t="n">
        <v>54.3</v>
      </c>
      <c r="AL150" s="33" t="n">
        <f aca="false">AK150*0.6</f>
        <v>32.58</v>
      </c>
      <c r="AM150" s="33"/>
      <c r="AN150" s="46" t="n">
        <v>0</v>
      </c>
      <c r="AO150" s="2" t="n">
        <v>6.28</v>
      </c>
      <c r="AP150" s="23" t="n">
        <v>17.2</v>
      </c>
      <c r="AQ150" s="33" t="n">
        <v>199.6</v>
      </c>
      <c r="AR150" s="35" t="n">
        <f aca="false">AQ150*0.5</f>
        <v>99.8</v>
      </c>
      <c r="AS150" s="46" t="n">
        <v>0</v>
      </c>
      <c r="AT150" s="33" t="n">
        <v>7.25</v>
      </c>
      <c r="AU150" s="23" t="n">
        <v>17.3</v>
      </c>
      <c r="AV150" s="33" t="n">
        <v>272</v>
      </c>
      <c r="AW150" s="35" t="n">
        <f aca="false">AV150*0.5</f>
        <v>136</v>
      </c>
      <c r="AX150" s="34" t="n">
        <v>1.04</v>
      </c>
      <c r="AY150" s="46" t="n">
        <v>0</v>
      </c>
    </row>
    <row r="151" customFormat="false" ht="15" hidden="false" customHeight="false" outlineLevel="0" collapsed="false">
      <c r="A151" s="16" t="s">
        <v>65</v>
      </c>
      <c r="B151" s="2" t="s">
        <v>57</v>
      </c>
      <c r="C151" s="32" t="n">
        <v>8.16</v>
      </c>
      <c r="D151" s="23" t="n">
        <v>17.6</v>
      </c>
      <c r="E151" s="33" t="n">
        <v>54.3</v>
      </c>
      <c r="F151" s="33" t="n">
        <f aca="false">E151*0.6</f>
        <v>32.58</v>
      </c>
      <c r="G151" s="33" t="n">
        <v>1.49</v>
      </c>
      <c r="H151" s="48"/>
      <c r="I151" s="48"/>
      <c r="J151" s="48"/>
      <c r="K151" s="48"/>
      <c r="L151" s="48"/>
      <c r="M151" s="33" t="n">
        <v>8.15</v>
      </c>
      <c r="N151" s="23" t="n">
        <v>17.7</v>
      </c>
      <c r="O151" s="49"/>
      <c r="P151" s="49"/>
      <c r="Q151" s="33" t="n">
        <v>1.44</v>
      </c>
      <c r="R151" s="21"/>
      <c r="S151" s="21"/>
      <c r="T151" s="48"/>
      <c r="U151" s="48"/>
      <c r="V151" s="21"/>
      <c r="W151" s="33" t="n">
        <v>8.05</v>
      </c>
      <c r="X151" s="23" t="n">
        <v>17.3</v>
      </c>
      <c r="Y151" s="49"/>
      <c r="Z151" s="49"/>
      <c r="AA151" s="46" t="n">
        <v>0</v>
      </c>
      <c r="AB151" s="33" t="n">
        <v>8.02</v>
      </c>
      <c r="AC151" s="23" t="n">
        <v>16.9</v>
      </c>
      <c r="AD151" s="33" t="n">
        <v>54.5</v>
      </c>
      <c r="AE151" s="33" t="n">
        <f aca="false">AD151*0.6</f>
        <v>32.7</v>
      </c>
      <c r="AF151" s="33"/>
      <c r="AG151" s="46" t="n">
        <v>0</v>
      </c>
      <c r="AH151" s="45"/>
      <c r="AI151" s="33" t="n">
        <v>8.02</v>
      </c>
      <c r="AJ151" s="23" t="n">
        <v>16.9</v>
      </c>
      <c r="AK151" s="33" t="n">
        <v>54.5</v>
      </c>
      <c r="AL151" s="33" t="n">
        <f aca="false">AK151*0.6</f>
        <v>32.7</v>
      </c>
      <c r="AM151" s="33"/>
      <c r="AN151" s="46" t="n">
        <v>0</v>
      </c>
      <c r="AO151" s="2" t="n">
        <v>6.21</v>
      </c>
      <c r="AP151" s="23" t="n">
        <v>17.4</v>
      </c>
      <c r="AQ151" s="33" t="n">
        <v>202</v>
      </c>
      <c r="AR151" s="35" t="n">
        <f aca="false">AQ151*0.5</f>
        <v>101</v>
      </c>
      <c r="AS151" s="46" t="n">
        <v>0</v>
      </c>
      <c r="AT151" s="33" t="n">
        <v>7.22</v>
      </c>
      <c r="AU151" s="23" t="n">
        <v>18</v>
      </c>
      <c r="AV151" s="33" t="n">
        <v>291</v>
      </c>
      <c r="AW151" s="35" t="n">
        <f aca="false">AV151*0.5</f>
        <v>145.5</v>
      </c>
      <c r="AX151" s="34"/>
      <c r="AY151" s="46" t="n">
        <v>0</v>
      </c>
    </row>
    <row r="152" customFormat="false" ht="15" hidden="false" customHeight="false" outlineLevel="0" collapsed="false">
      <c r="A152" s="16" t="s">
        <v>66</v>
      </c>
      <c r="B152" s="2" t="s">
        <v>51</v>
      </c>
      <c r="C152" s="32" t="n">
        <v>8.15</v>
      </c>
      <c r="D152" s="23" t="n">
        <v>16.1</v>
      </c>
      <c r="E152" s="33" t="n">
        <v>54.4</v>
      </c>
      <c r="F152" s="33" t="n">
        <f aca="false">E152*0.6</f>
        <v>32.64</v>
      </c>
      <c r="G152" s="33" t="n">
        <v>0.74</v>
      </c>
      <c r="H152" s="48"/>
      <c r="I152" s="48"/>
      <c r="J152" s="48"/>
      <c r="K152" s="48"/>
      <c r="L152" s="48"/>
      <c r="M152" s="33" t="n">
        <v>8.12</v>
      </c>
      <c r="N152" s="23" t="n">
        <v>16.2</v>
      </c>
      <c r="O152" s="49"/>
      <c r="P152" s="49"/>
      <c r="Q152" s="33" t="n">
        <v>1.47</v>
      </c>
      <c r="R152" s="21"/>
      <c r="S152" s="21"/>
      <c r="T152" s="48"/>
      <c r="U152" s="48"/>
      <c r="V152" s="21"/>
      <c r="W152" s="33" t="n">
        <v>8.1</v>
      </c>
      <c r="X152" s="23" t="n">
        <v>16.3</v>
      </c>
      <c r="Y152" s="49"/>
      <c r="Z152" s="49"/>
      <c r="AA152" s="46" t="n">
        <v>0</v>
      </c>
      <c r="AB152" s="33" t="n">
        <v>8.07</v>
      </c>
      <c r="AC152" s="23" t="n">
        <v>16.5</v>
      </c>
      <c r="AD152" s="33" t="n">
        <v>54.3</v>
      </c>
      <c r="AE152" s="33" t="n">
        <f aca="false">AD152*0.6</f>
        <v>32.58</v>
      </c>
      <c r="AF152" s="33"/>
      <c r="AG152" s="46" t="n">
        <v>0</v>
      </c>
      <c r="AH152" s="21"/>
      <c r="AI152" s="33" t="n">
        <v>8.07</v>
      </c>
      <c r="AJ152" s="23" t="n">
        <v>16.5</v>
      </c>
      <c r="AK152" s="33" t="n">
        <v>54.3</v>
      </c>
      <c r="AL152" s="33" t="n">
        <f aca="false">AK152*0.6</f>
        <v>32.58</v>
      </c>
      <c r="AM152" s="33"/>
      <c r="AN152" s="46" t="n">
        <v>0</v>
      </c>
      <c r="AO152" s="2" t="n">
        <v>6.1</v>
      </c>
      <c r="AP152" s="23" t="n">
        <v>16.8</v>
      </c>
      <c r="AQ152" s="33" t="n">
        <v>187.4</v>
      </c>
      <c r="AR152" s="33" t="n">
        <f aca="false">AQ152*0.5</f>
        <v>93.7</v>
      </c>
      <c r="AS152" s="46" t="n">
        <v>0</v>
      </c>
      <c r="AT152" s="33" t="n">
        <v>7.29</v>
      </c>
      <c r="AU152" s="23" t="n">
        <v>16.9</v>
      </c>
      <c r="AV152" s="33" t="n">
        <v>289</v>
      </c>
      <c r="AW152" s="33" t="n">
        <f aca="false">AV152*0.5</f>
        <v>144.5</v>
      </c>
      <c r="AX152" s="34"/>
      <c r="AY152" s="46" t="n">
        <v>0</v>
      </c>
    </row>
    <row r="153" customFormat="false" ht="15" hidden="false" customHeight="false" outlineLevel="0" collapsed="false">
      <c r="A153" s="16" t="s">
        <v>66</v>
      </c>
      <c r="B153" s="2" t="s">
        <v>52</v>
      </c>
      <c r="C153" s="32" t="n">
        <v>8.2</v>
      </c>
      <c r="D153" s="23" t="n">
        <v>16.8</v>
      </c>
      <c r="E153" s="33" t="n">
        <v>54.5</v>
      </c>
      <c r="F153" s="33" t="n">
        <f aca="false">E153*0.6</f>
        <v>32.7</v>
      </c>
      <c r="G153" s="33" t="n">
        <v>1.29</v>
      </c>
      <c r="H153" s="33" t="n">
        <v>8.1</v>
      </c>
      <c r="I153" s="23" t="n">
        <v>16.6</v>
      </c>
      <c r="J153" s="50"/>
      <c r="K153" s="49"/>
      <c r="L153" s="49" t="n">
        <v>1.43</v>
      </c>
      <c r="M153" s="33" t="n">
        <v>8.1</v>
      </c>
      <c r="N153" s="23" t="n">
        <v>16.5</v>
      </c>
      <c r="O153" s="49"/>
      <c r="P153" s="49"/>
      <c r="Q153" s="33" t="n">
        <v>1.61</v>
      </c>
      <c r="R153" s="33" t="n">
        <v>8.09</v>
      </c>
      <c r="S153" s="23" t="n">
        <v>16.6</v>
      </c>
      <c r="T153" s="49"/>
      <c r="U153" s="49"/>
      <c r="V153" s="46" t="n">
        <v>0</v>
      </c>
      <c r="W153" s="33" t="n">
        <v>8.09</v>
      </c>
      <c r="X153" s="23" t="n">
        <v>16.6</v>
      </c>
      <c r="Y153" s="49"/>
      <c r="Z153" s="49"/>
      <c r="AA153" s="46" t="n">
        <v>0</v>
      </c>
      <c r="AB153" s="33" t="n">
        <v>8.03</v>
      </c>
      <c r="AC153" s="23" t="n">
        <v>16.7</v>
      </c>
      <c r="AD153" s="33" t="n">
        <v>54.5</v>
      </c>
      <c r="AE153" s="33" t="n">
        <f aca="false">AD153*0.6</f>
        <v>32.7</v>
      </c>
      <c r="AF153" s="33"/>
      <c r="AG153" s="46" t="n">
        <v>0</v>
      </c>
      <c r="AH153" s="21"/>
      <c r="AI153" s="33" t="n">
        <v>8.03</v>
      </c>
      <c r="AJ153" s="23" t="n">
        <v>16.7</v>
      </c>
      <c r="AK153" s="33" t="n">
        <v>54.5</v>
      </c>
      <c r="AL153" s="33" t="n">
        <f aca="false">AK153*0.6</f>
        <v>32.7</v>
      </c>
      <c r="AM153" s="33"/>
      <c r="AN153" s="46" t="n">
        <v>0</v>
      </c>
      <c r="AO153" s="2" t="n">
        <v>6.4</v>
      </c>
      <c r="AP153" s="23" t="n">
        <v>17.1</v>
      </c>
      <c r="AQ153" s="33" t="n">
        <v>182.1</v>
      </c>
      <c r="AR153" s="35" t="n">
        <f aca="false">AQ153*0.5</f>
        <v>91.05</v>
      </c>
      <c r="AS153" s="46" t="n">
        <v>0</v>
      </c>
      <c r="AT153" s="33" t="n">
        <v>7.24</v>
      </c>
      <c r="AU153" s="23" t="n">
        <v>17.5</v>
      </c>
      <c r="AV153" s="33" t="n">
        <v>276</v>
      </c>
      <c r="AW153" s="35" t="n">
        <f aca="false">AV153*0.5</f>
        <v>138</v>
      </c>
      <c r="AX153" s="34" t="n">
        <v>1.01</v>
      </c>
      <c r="AY153" s="46" t="n">
        <v>0</v>
      </c>
    </row>
    <row r="154" customFormat="false" ht="15" hidden="false" customHeight="false" outlineLevel="0" collapsed="false">
      <c r="A154" s="16" t="s">
        <v>66</v>
      </c>
      <c r="B154" s="2" t="s">
        <v>57</v>
      </c>
      <c r="C154" s="32" t="n">
        <v>8.15</v>
      </c>
      <c r="D154" s="23" t="n">
        <v>20.1</v>
      </c>
      <c r="E154" s="33" t="n">
        <v>54.3</v>
      </c>
      <c r="F154" s="33" t="n">
        <f aca="false">E154*0.6</f>
        <v>32.58</v>
      </c>
      <c r="G154" s="33" t="n">
        <v>1.25</v>
      </c>
      <c r="H154" s="33" t="n">
        <v>8.12</v>
      </c>
      <c r="I154" s="23" t="n">
        <v>19.3</v>
      </c>
      <c r="J154" s="49"/>
      <c r="K154" s="49"/>
      <c r="L154" s="49" t="n">
        <v>2.57</v>
      </c>
      <c r="M154" s="33" t="n">
        <v>8.12</v>
      </c>
      <c r="N154" s="23" t="n">
        <v>19.3</v>
      </c>
      <c r="O154" s="49"/>
      <c r="P154" s="49"/>
      <c r="Q154" s="33" t="n">
        <v>1.57</v>
      </c>
      <c r="R154" s="33" t="n">
        <v>8.09</v>
      </c>
      <c r="S154" s="23" t="n">
        <v>18.2</v>
      </c>
      <c r="T154" s="49"/>
      <c r="U154" s="49"/>
      <c r="V154" s="46" t="n">
        <v>0</v>
      </c>
      <c r="W154" s="33" t="n">
        <v>8.09</v>
      </c>
      <c r="X154" s="23" t="n">
        <v>18.2</v>
      </c>
      <c r="Y154" s="49"/>
      <c r="Z154" s="49"/>
      <c r="AA154" s="46" t="n">
        <v>0</v>
      </c>
      <c r="AB154" s="33" t="n">
        <v>8.01</v>
      </c>
      <c r="AC154" s="23" t="n">
        <v>17</v>
      </c>
      <c r="AD154" s="33" t="n">
        <v>54.3</v>
      </c>
      <c r="AE154" s="33" t="n">
        <f aca="false">AD154*0.6</f>
        <v>32.58</v>
      </c>
      <c r="AF154" s="33"/>
      <c r="AG154" s="46" t="n">
        <v>0</v>
      </c>
      <c r="AH154" s="21"/>
      <c r="AI154" s="33" t="n">
        <v>8.01</v>
      </c>
      <c r="AJ154" s="23" t="n">
        <v>17</v>
      </c>
      <c r="AK154" s="33" t="n">
        <v>54.3</v>
      </c>
      <c r="AL154" s="33" t="n">
        <f aca="false">AK154*0.6</f>
        <v>32.58</v>
      </c>
      <c r="AM154" s="33"/>
      <c r="AN154" s="46" t="n">
        <v>0</v>
      </c>
      <c r="AO154" s="2" t="n">
        <v>6.15</v>
      </c>
      <c r="AP154" s="23" t="n">
        <v>17.4</v>
      </c>
      <c r="AQ154" s="33" t="n">
        <v>203</v>
      </c>
      <c r="AR154" s="35" t="n">
        <f aca="false">AQ154*0.5</f>
        <v>101.5</v>
      </c>
      <c r="AS154" s="46" t="n">
        <v>0</v>
      </c>
      <c r="AT154" s="33" t="n">
        <v>7.14</v>
      </c>
      <c r="AU154" s="23" t="n">
        <v>17.5</v>
      </c>
      <c r="AV154" s="33" t="n">
        <v>277</v>
      </c>
      <c r="AW154" s="35" t="n">
        <f aca="false">AV154*0.5</f>
        <v>138.5</v>
      </c>
      <c r="AX154" s="34"/>
      <c r="AY154" s="46" t="n">
        <v>0</v>
      </c>
    </row>
    <row r="155" customFormat="false" ht="15" hidden="false" customHeight="false" outlineLevel="0" collapsed="false">
      <c r="A155" s="16" t="s">
        <v>67</v>
      </c>
      <c r="B155" s="2" t="s">
        <v>51</v>
      </c>
      <c r="C155" s="32" t="n">
        <v>8.17</v>
      </c>
      <c r="D155" s="23" t="n">
        <v>16.6</v>
      </c>
      <c r="E155" s="33" t="n">
        <v>54.2</v>
      </c>
      <c r="F155" s="33" t="n">
        <f aca="false">E155*0.6</f>
        <v>32.52</v>
      </c>
      <c r="G155" s="33" t="n">
        <v>2.46</v>
      </c>
      <c r="H155" s="33" t="n">
        <v>8.1</v>
      </c>
      <c r="I155" s="33" t="n">
        <v>16.7</v>
      </c>
      <c r="J155" s="49"/>
      <c r="K155" s="49"/>
      <c r="L155" s="49" t="n">
        <v>3.96</v>
      </c>
      <c r="M155" s="33" t="n">
        <v>8.1</v>
      </c>
      <c r="N155" s="23" t="n">
        <v>16.7</v>
      </c>
      <c r="O155" s="49"/>
      <c r="P155" s="49"/>
      <c r="Q155" s="33" t="n">
        <v>3.22</v>
      </c>
      <c r="R155" s="33" t="n">
        <v>8.09</v>
      </c>
      <c r="S155" s="23" t="n">
        <v>16.8</v>
      </c>
      <c r="T155" s="49"/>
      <c r="U155" s="49"/>
      <c r="V155" s="46" t="n">
        <v>0</v>
      </c>
      <c r="W155" s="33" t="n">
        <v>8.08</v>
      </c>
      <c r="X155" s="23" t="n">
        <v>16.8</v>
      </c>
      <c r="Y155" s="49"/>
      <c r="Z155" s="49"/>
      <c r="AA155" s="46" t="n">
        <v>0</v>
      </c>
      <c r="AB155" s="33" t="n">
        <v>8.02</v>
      </c>
      <c r="AC155" s="23" t="n">
        <v>16.4</v>
      </c>
      <c r="AD155" s="33" t="n">
        <v>54.2</v>
      </c>
      <c r="AE155" s="33" t="n">
        <f aca="false">AD155*0.6</f>
        <v>32.52</v>
      </c>
      <c r="AF155" s="33"/>
      <c r="AG155" s="46" t="n">
        <v>0</v>
      </c>
      <c r="AH155" s="21"/>
      <c r="AI155" s="33" t="n">
        <v>8.02</v>
      </c>
      <c r="AJ155" s="23" t="n">
        <v>16.4</v>
      </c>
      <c r="AK155" s="33" t="n">
        <v>54.2</v>
      </c>
      <c r="AL155" s="33" t="n">
        <f aca="false">AK155*0.6</f>
        <v>32.52</v>
      </c>
      <c r="AM155" s="33"/>
      <c r="AN155" s="46" t="n">
        <v>0</v>
      </c>
      <c r="AO155" s="2" t="n">
        <v>6.7</v>
      </c>
      <c r="AP155" s="23" t="n">
        <v>16.8</v>
      </c>
      <c r="AQ155" s="33" t="n">
        <v>206</v>
      </c>
      <c r="AR155" s="33" t="n">
        <f aca="false">AQ155*0.5</f>
        <v>103</v>
      </c>
      <c r="AS155" s="46" t="n">
        <v>0</v>
      </c>
      <c r="AT155" s="33" t="n">
        <v>7.26</v>
      </c>
      <c r="AU155" s="23" t="n">
        <v>17.3</v>
      </c>
      <c r="AV155" s="33" t="n">
        <v>290</v>
      </c>
      <c r="AW155" s="33" t="n">
        <f aca="false">AV155*0.5</f>
        <v>145</v>
      </c>
      <c r="AX155" s="34" t="n">
        <v>0.85</v>
      </c>
      <c r="AY155" s="46" t="n">
        <v>0</v>
      </c>
    </row>
    <row r="156" customFormat="false" ht="15" hidden="false" customHeight="false" outlineLevel="0" collapsed="false">
      <c r="A156" s="16" t="s">
        <v>67</v>
      </c>
      <c r="B156" s="2" t="s">
        <v>52</v>
      </c>
      <c r="C156" s="32" t="n">
        <v>8.16</v>
      </c>
      <c r="D156" s="23" t="n">
        <v>17.2</v>
      </c>
      <c r="E156" s="33" t="n">
        <v>54.3</v>
      </c>
      <c r="F156" s="33" t="n">
        <f aca="false">E156*0.6</f>
        <v>32.58</v>
      </c>
      <c r="G156" s="33" t="n">
        <v>2.96</v>
      </c>
      <c r="H156" s="33" t="n">
        <v>8.13</v>
      </c>
      <c r="I156" s="23" t="n">
        <v>17.3</v>
      </c>
      <c r="J156" s="50"/>
      <c r="K156" s="49"/>
      <c r="L156" s="49" t="n">
        <v>5.93</v>
      </c>
      <c r="M156" s="33" t="n">
        <v>8.12</v>
      </c>
      <c r="N156" s="23" t="n">
        <v>17.3</v>
      </c>
      <c r="O156" s="49"/>
      <c r="P156" s="49"/>
      <c r="Q156" s="33" t="n">
        <v>6.13</v>
      </c>
      <c r="R156" s="33" t="n">
        <v>8.1</v>
      </c>
      <c r="S156" s="23" t="n">
        <v>17.1</v>
      </c>
      <c r="T156" s="49"/>
      <c r="U156" s="49"/>
      <c r="V156" s="46" t="n">
        <v>0.03</v>
      </c>
      <c r="W156" s="33" t="n">
        <v>8.1</v>
      </c>
      <c r="X156" s="23" t="n">
        <v>17.1</v>
      </c>
      <c r="Y156" s="49"/>
      <c r="Z156" s="49"/>
      <c r="AA156" s="46" t="n">
        <v>0</v>
      </c>
      <c r="AB156" s="33" t="n">
        <v>8.06</v>
      </c>
      <c r="AC156" s="23" t="n">
        <v>17.1</v>
      </c>
      <c r="AD156" s="33" t="n">
        <v>54.3</v>
      </c>
      <c r="AE156" s="33" t="n">
        <f aca="false">AD156*0.6</f>
        <v>32.58</v>
      </c>
      <c r="AF156" s="33"/>
      <c r="AG156" s="46" t="n">
        <v>0</v>
      </c>
      <c r="AH156" s="21"/>
      <c r="AI156" s="33" t="n">
        <v>8.06</v>
      </c>
      <c r="AJ156" s="23" t="n">
        <v>17.1</v>
      </c>
      <c r="AK156" s="33" t="n">
        <v>54.3</v>
      </c>
      <c r="AL156" s="33" t="n">
        <f aca="false">AK156*0.6</f>
        <v>32.58</v>
      </c>
      <c r="AM156" s="33"/>
      <c r="AN156" s="46" t="n">
        <v>0</v>
      </c>
      <c r="AO156" s="2" t="n">
        <v>6.21</v>
      </c>
      <c r="AP156" s="23" t="n">
        <v>17.5</v>
      </c>
      <c r="AQ156" s="33" t="n">
        <v>191.7</v>
      </c>
      <c r="AR156" s="35" t="n">
        <f aca="false">AQ156*0.5</f>
        <v>95.85</v>
      </c>
      <c r="AS156" s="46" t="n">
        <v>0</v>
      </c>
      <c r="AT156" s="33" t="n">
        <v>7.18</v>
      </c>
      <c r="AU156" s="23" t="n">
        <v>17.6</v>
      </c>
      <c r="AV156" s="33" t="n">
        <v>282</v>
      </c>
      <c r="AW156" s="35" t="n">
        <f aca="false">AV156*0.5</f>
        <v>141</v>
      </c>
      <c r="AX156" s="34" t="n">
        <v>0.85</v>
      </c>
      <c r="AY156" s="46" t="n">
        <v>0</v>
      </c>
    </row>
    <row r="157" customFormat="false" ht="15" hidden="false" customHeight="false" outlineLevel="0" collapsed="false">
      <c r="A157" s="16" t="s">
        <v>67</v>
      </c>
      <c r="B157" s="2" t="s">
        <v>57</v>
      </c>
      <c r="C157" s="32" t="n">
        <v>8.15</v>
      </c>
      <c r="D157" s="23" t="n">
        <v>18.2</v>
      </c>
      <c r="E157" s="33" t="n">
        <v>54.4</v>
      </c>
      <c r="F157" s="33" t="n">
        <f aca="false">E157*0.6</f>
        <v>32.64</v>
      </c>
      <c r="G157" s="33" t="n">
        <v>1.68</v>
      </c>
      <c r="H157" s="33" t="n">
        <v>8.12</v>
      </c>
      <c r="I157" s="23" t="n">
        <v>18</v>
      </c>
      <c r="J157" s="49"/>
      <c r="K157" s="49"/>
      <c r="L157" s="49" t="n">
        <v>4.04</v>
      </c>
      <c r="M157" s="33" t="n">
        <v>8.12</v>
      </c>
      <c r="N157" s="23" t="n">
        <v>18</v>
      </c>
      <c r="O157" s="49"/>
      <c r="P157" s="49"/>
      <c r="Q157" s="33" t="n">
        <v>3.69</v>
      </c>
      <c r="R157" s="33" t="n">
        <v>8.1</v>
      </c>
      <c r="S157" s="23" t="n">
        <v>17.3</v>
      </c>
      <c r="T157" s="49"/>
      <c r="U157" s="49"/>
      <c r="V157" s="46" t="n">
        <v>0</v>
      </c>
      <c r="W157" s="33" t="n">
        <v>8.1</v>
      </c>
      <c r="X157" s="23" t="n">
        <v>17.3</v>
      </c>
      <c r="Y157" s="49"/>
      <c r="Z157" s="49"/>
      <c r="AA157" s="46" t="n">
        <v>0</v>
      </c>
      <c r="AB157" s="33" t="n">
        <v>8.05</v>
      </c>
      <c r="AC157" s="23" t="n">
        <v>17.5</v>
      </c>
      <c r="AD157" s="33" t="n">
        <v>54.3</v>
      </c>
      <c r="AE157" s="33" t="n">
        <f aca="false">AD157*0.6</f>
        <v>32.58</v>
      </c>
      <c r="AF157" s="33"/>
      <c r="AG157" s="46" t="n">
        <v>0</v>
      </c>
      <c r="AH157" s="21"/>
      <c r="AI157" s="33" t="n">
        <v>8.05</v>
      </c>
      <c r="AJ157" s="23" t="n">
        <v>17.5</v>
      </c>
      <c r="AK157" s="33" t="n">
        <v>54.3</v>
      </c>
      <c r="AL157" s="33" t="n">
        <f aca="false">AK157*0.6</f>
        <v>32.58</v>
      </c>
      <c r="AM157" s="33"/>
      <c r="AN157" s="46" t="n">
        <v>0</v>
      </c>
      <c r="AO157" s="2" t="n">
        <v>6.25</v>
      </c>
      <c r="AP157" s="23" t="n">
        <v>17.5</v>
      </c>
      <c r="AQ157" s="33" t="n">
        <v>208</v>
      </c>
      <c r="AR157" s="35" t="n">
        <f aca="false">AQ157*0.5</f>
        <v>104</v>
      </c>
      <c r="AS157" s="46" t="n">
        <v>0</v>
      </c>
      <c r="AT157" s="33" t="n">
        <v>7.29</v>
      </c>
      <c r="AU157" s="23" t="n">
        <v>17.8</v>
      </c>
      <c r="AV157" s="33" t="n">
        <v>291</v>
      </c>
      <c r="AW157" s="35" t="n">
        <f aca="false">AV157*0.5</f>
        <v>145.5</v>
      </c>
      <c r="AX157" s="34"/>
      <c r="AY157" s="46" t="n">
        <v>0</v>
      </c>
    </row>
    <row r="158" customFormat="false" ht="15" hidden="false" customHeight="false" outlineLevel="0" collapsed="false">
      <c r="A158" s="16" t="s">
        <v>68</v>
      </c>
      <c r="B158" s="2" t="s">
        <v>51</v>
      </c>
      <c r="C158" s="32" t="n">
        <v>8.17</v>
      </c>
      <c r="D158" s="23" t="n">
        <v>16.8</v>
      </c>
      <c r="E158" s="33" t="n">
        <v>55.4</v>
      </c>
      <c r="F158" s="33" t="n">
        <f aca="false">E158*0.6</f>
        <v>33.24</v>
      </c>
      <c r="G158" s="33" t="n">
        <v>0.96</v>
      </c>
      <c r="H158" s="33" t="n">
        <v>8.16</v>
      </c>
      <c r="I158" s="33" t="n">
        <v>16.8</v>
      </c>
      <c r="J158" s="49"/>
      <c r="K158" s="49"/>
      <c r="L158" s="49" t="n">
        <v>0.95</v>
      </c>
      <c r="M158" s="33" t="n">
        <v>8.16</v>
      </c>
      <c r="N158" s="33" t="n">
        <v>16.8</v>
      </c>
      <c r="O158" s="49"/>
      <c r="P158" s="49"/>
      <c r="Q158" s="33" t="n">
        <v>1.09</v>
      </c>
      <c r="R158" s="33" t="n">
        <v>8.12</v>
      </c>
      <c r="S158" s="23" t="n">
        <v>17</v>
      </c>
      <c r="T158" s="49"/>
      <c r="U158" s="49"/>
      <c r="V158" s="46" t="n">
        <v>0</v>
      </c>
      <c r="W158" s="33" t="n">
        <v>8.12</v>
      </c>
      <c r="X158" s="23" t="n">
        <v>17</v>
      </c>
      <c r="Y158" s="49"/>
      <c r="Z158" s="49"/>
      <c r="AA158" s="46" t="n">
        <v>0</v>
      </c>
      <c r="AB158" s="33" t="n">
        <v>8.07</v>
      </c>
      <c r="AC158" s="23" t="n">
        <v>17.3</v>
      </c>
      <c r="AD158" s="33" t="n">
        <v>55.3</v>
      </c>
      <c r="AE158" s="33" t="n">
        <f aca="false">AD158*0.6</f>
        <v>33.18</v>
      </c>
      <c r="AF158" s="33"/>
      <c r="AG158" s="46" t="n">
        <v>0</v>
      </c>
      <c r="AH158" s="21"/>
      <c r="AI158" s="33" t="n">
        <v>8.07</v>
      </c>
      <c r="AJ158" s="23" t="n">
        <v>17.3</v>
      </c>
      <c r="AK158" s="33" t="n">
        <v>55.3</v>
      </c>
      <c r="AL158" s="33" t="n">
        <f aca="false">AK158*0.6</f>
        <v>33.18</v>
      </c>
      <c r="AM158" s="33"/>
      <c r="AN158" s="46" t="n">
        <v>0</v>
      </c>
      <c r="AO158" s="2" t="n">
        <v>6.29</v>
      </c>
      <c r="AP158" s="23" t="n">
        <v>17.6</v>
      </c>
      <c r="AQ158" s="33" t="n">
        <v>199</v>
      </c>
      <c r="AR158" s="33" t="n">
        <f aca="false">AQ158*0.5</f>
        <v>99.5</v>
      </c>
      <c r="AS158" s="46" t="n">
        <v>0</v>
      </c>
      <c r="AT158" s="33" t="n">
        <v>7.29</v>
      </c>
      <c r="AU158" s="23" t="n">
        <v>18</v>
      </c>
      <c r="AV158" s="33" t="n">
        <v>299</v>
      </c>
      <c r="AW158" s="33" t="n">
        <f aca="false">AV158*0.55</f>
        <v>164.45</v>
      </c>
      <c r="AX158" s="34" t="n">
        <v>1</v>
      </c>
      <c r="AY158" s="46" t="n">
        <v>0</v>
      </c>
    </row>
    <row r="159" customFormat="false" ht="15" hidden="false" customHeight="false" outlineLevel="0" collapsed="false">
      <c r="A159" s="16" t="s">
        <v>68</v>
      </c>
      <c r="B159" s="2" t="s">
        <v>52</v>
      </c>
      <c r="C159" s="32" t="n">
        <v>8.2</v>
      </c>
      <c r="D159" s="23" t="n">
        <v>17.4</v>
      </c>
      <c r="E159" s="33" t="n">
        <v>54.6</v>
      </c>
      <c r="F159" s="33" t="n">
        <f aca="false">E159*0.6</f>
        <v>32.76</v>
      </c>
      <c r="G159" s="33" t="n">
        <v>0.56</v>
      </c>
      <c r="H159" s="33" t="n">
        <v>8.13</v>
      </c>
      <c r="I159" s="23" t="n">
        <v>16.7</v>
      </c>
      <c r="J159" s="50"/>
      <c r="K159" s="49"/>
      <c r="L159" s="49" t="n">
        <v>1.46</v>
      </c>
      <c r="M159" s="33" t="n">
        <v>8.13</v>
      </c>
      <c r="N159" s="23" t="n">
        <v>16.7</v>
      </c>
      <c r="O159" s="49"/>
      <c r="P159" s="49"/>
      <c r="Q159" s="33" t="n">
        <v>1.56</v>
      </c>
      <c r="R159" s="33" t="n">
        <v>8.1</v>
      </c>
      <c r="S159" s="23" t="n">
        <v>16.6</v>
      </c>
      <c r="T159" s="49"/>
      <c r="U159" s="49"/>
      <c r="V159" s="46" t="n">
        <v>0</v>
      </c>
      <c r="W159" s="33" t="n">
        <v>8.1</v>
      </c>
      <c r="X159" s="23" t="n">
        <v>16.6</v>
      </c>
      <c r="Y159" s="49"/>
      <c r="Z159" s="49"/>
      <c r="AA159" s="46" t="n">
        <v>0</v>
      </c>
      <c r="AB159" s="33" t="n">
        <v>8.06</v>
      </c>
      <c r="AC159" s="23" t="n">
        <v>16.9</v>
      </c>
      <c r="AD159" s="33" t="n">
        <v>54.5</v>
      </c>
      <c r="AE159" s="33" t="n">
        <f aca="false">AD159*0.6</f>
        <v>32.7</v>
      </c>
      <c r="AF159" s="33"/>
      <c r="AG159" s="46" t="n">
        <v>0</v>
      </c>
      <c r="AH159" s="21"/>
      <c r="AI159" s="33" t="n">
        <v>8.06</v>
      </c>
      <c r="AJ159" s="23" t="n">
        <v>16.9</v>
      </c>
      <c r="AK159" s="33" t="n">
        <v>54.5</v>
      </c>
      <c r="AL159" s="33" t="n">
        <f aca="false">AK159*0.6</f>
        <v>32.7</v>
      </c>
      <c r="AM159" s="33"/>
      <c r="AN159" s="46" t="n">
        <v>0</v>
      </c>
      <c r="AO159" s="2" t="n">
        <v>6.21</v>
      </c>
      <c r="AP159" s="23" t="n">
        <v>17.4</v>
      </c>
      <c r="AQ159" s="33" t="n">
        <v>198.9</v>
      </c>
      <c r="AR159" s="35" t="n">
        <f aca="false">AQ159*0.5</f>
        <v>99.45</v>
      </c>
      <c r="AS159" s="46" t="n">
        <v>0</v>
      </c>
      <c r="AT159" s="33" t="n">
        <v>7.09</v>
      </c>
      <c r="AU159" s="23" t="n">
        <v>17.6</v>
      </c>
      <c r="AV159" s="33" t="n">
        <v>281</v>
      </c>
      <c r="AW159" s="35" t="n">
        <f aca="false">AV159*0.55</f>
        <v>154.55</v>
      </c>
      <c r="AX159" s="34"/>
      <c r="AY159" s="46" t="n">
        <v>0</v>
      </c>
    </row>
    <row r="160" customFormat="false" ht="15" hidden="false" customHeight="false" outlineLevel="0" collapsed="false">
      <c r="A160" s="16" t="s">
        <v>68</v>
      </c>
      <c r="B160" s="2" t="s">
        <v>57</v>
      </c>
      <c r="C160" s="32" t="n">
        <v>8.21</v>
      </c>
      <c r="D160" s="23" t="n">
        <v>18.3</v>
      </c>
      <c r="E160" s="33" t="n">
        <v>54.2</v>
      </c>
      <c r="F160" s="33" t="n">
        <f aca="false">E160*0.6</f>
        <v>32.52</v>
      </c>
      <c r="G160" s="33" t="n">
        <v>0.53</v>
      </c>
      <c r="H160" s="33" t="n">
        <v>8.14</v>
      </c>
      <c r="I160" s="23" t="n">
        <v>18.2</v>
      </c>
      <c r="J160" s="49"/>
      <c r="K160" s="49"/>
      <c r="L160" s="49" t="n">
        <v>1.22</v>
      </c>
      <c r="M160" s="33" t="n">
        <v>8.14</v>
      </c>
      <c r="N160" s="23" t="n">
        <v>18.2</v>
      </c>
      <c r="O160" s="49"/>
      <c r="P160" s="49"/>
      <c r="Q160" s="33" t="n">
        <v>1.32</v>
      </c>
      <c r="R160" s="33" t="n">
        <v>8.1</v>
      </c>
      <c r="S160" s="23" t="n">
        <v>17</v>
      </c>
      <c r="T160" s="49"/>
      <c r="U160" s="49"/>
      <c r="V160" s="46" t="n">
        <v>0</v>
      </c>
      <c r="W160" s="33" t="n">
        <v>8.1</v>
      </c>
      <c r="X160" s="23" t="n">
        <v>17</v>
      </c>
      <c r="Y160" s="49"/>
      <c r="Z160" s="49"/>
      <c r="AA160" s="46" t="n">
        <v>0</v>
      </c>
      <c r="AB160" s="33" t="n">
        <v>8.06</v>
      </c>
      <c r="AC160" s="23" t="n">
        <v>17.3</v>
      </c>
      <c r="AD160" s="33" t="n">
        <v>55.1</v>
      </c>
      <c r="AE160" s="33" t="n">
        <f aca="false">AD160*0.6</f>
        <v>33.06</v>
      </c>
      <c r="AF160" s="33"/>
      <c r="AG160" s="46" t="n">
        <v>0</v>
      </c>
      <c r="AH160" s="21"/>
      <c r="AI160" s="33" t="n">
        <v>8.06</v>
      </c>
      <c r="AJ160" s="23" t="n">
        <v>17.3</v>
      </c>
      <c r="AK160" s="33" t="n">
        <v>55.1</v>
      </c>
      <c r="AL160" s="33" t="n">
        <f aca="false">AK160*0.6</f>
        <v>33.06</v>
      </c>
      <c r="AM160" s="33"/>
      <c r="AN160" s="46" t="n">
        <v>0</v>
      </c>
      <c r="AO160" s="2" t="n">
        <v>6.2</v>
      </c>
      <c r="AP160" s="23" t="n">
        <v>17.5</v>
      </c>
      <c r="AQ160" s="33" t="n">
        <v>199</v>
      </c>
      <c r="AR160" s="35" t="n">
        <f aca="false">AQ160*0.5</f>
        <v>99.5</v>
      </c>
      <c r="AS160" s="46" t="n">
        <v>0</v>
      </c>
      <c r="AT160" s="33" t="n">
        <v>7.26</v>
      </c>
      <c r="AU160" s="23" t="n">
        <v>18.2</v>
      </c>
      <c r="AV160" s="33" t="n">
        <v>289</v>
      </c>
      <c r="AW160" s="35" t="n">
        <f aca="false">AV160*0.55</f>
        <v>158.95</v>
      </c>
      <c r="AX160" s="34" t="n">
        <v>0.94</v>
      </c>
      <c r="AY160" s="46" t="n">
        <v>0</v>
      </c>
    </row>
    <row r="161" customFormat="false" ht="15" hidden="false" customHeight="false" outlineLevel="0" collapsed="false">
      <c r="A161" s="16" t="s">
        <v>69</v>
      </c>
      <c r="B161" s="2" t="s">
        <v>51</v>
      </c>
      <c r="C161" s="47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</row>
    <row r="162" customFormat="false" ht="15" hidden="false" customHeight="false" outlineLevel="0" collapsed="false">
      <c r="A162" s="16" t="s">
        <v>69</v>
      </c>
      <c r="B162" s="2" t="s">
        <v>52</v>
      </c>
      <c r="C162" s="47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</row>
    <row r="163" customFormat="false" ht="15" hidden="false" customHeight="false" outlineLevel="0" collapsed="false">
      <c r="A163" s="16" t="s">
        <v>69</v>
      </c>
      <c r="B163" s="2" t="s">
        <v>57</v>
      </c>
      <c r="C163" s="47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</row>
    <row r="164" customFormat="false" ht="15" hidden="false" customHeight="false" outlineLevel="0" collapsed="false">
      <c r="A164" s="16" t="s">
        <v>70</v>
      </c>
      <c r="B164" s="2" t="s">
        <v>51</v>
      </c>
      <c r="C164" s="32" t="n">
        <v>8.16</v>
      </c>
      <c r="D164" s="23" t="n">
        <v>15.3</v>
      </c>
      <c r="E164" s="33" t="n">
        <v>54.3</v>
      </c>
      <c r="F164" s="33" t="n">
        <f aca="false">E164*0.6</f>
        <v>32.58</v>
      </c>
      <c r="G164" s="33" t="n">
        <v>0.77</v>
      </c>
      <c r="H164" s="33" t="n">
        <v>8.1</v>
      </c>
      <c r="I164" s="33" t="n">
        <v>15.4</v>
      </c>
      <c r="J164" s="49"/>
      <c r="K164" s="49"/>
      <c r="L164" s="49" t="n">
        <v>0.66</v>
      </c>
      <c r="M164" s="33" t="n">
        <v>8.1</v>
      </c>
      <c r="N164" s="33" t="n">
        <v>15.4</v>
      </c>
      <c r="O164" s="49"/>
      <c r="P164" s="49"/>
      <c r="Q164" s="33" t="n">
        <v>0.83</v>
      </c>
      <c r="R164" s="33" t="n">
        <v>8.09</v>
      </c>
      <c r="S164" s="23" t="n">
        <v>16.8</v>
      </c>
      <c r="T164" s="49"/>
      <c r="U164" s="49"/>
      <c r="V164" s="46" t="n">
        <v>0</v>
      </c>
      <c r="W164" s="33" t="n">
        <v>8.09</v>
      </c>
      <c r="X164" s="23" t="n">
        <v>16.8</v>
      </c>
      <c r="Y164" s="49"/>
      <c r="Z164" s="49"/>
      <c r="AA164" s="46" t="n">
        <v>0</v>
      </c>
      <c r="AB164" s="33" t="n">
        <v>8.03</v>
      </c>
      <c r="AC164" s="23" t="n">
        <v>17</v>
      </c>
      <c r="AD164" s="33" t="n">
        <v>55.2</v>
      </c>
      <c r="AE164" s="33" t="n">
        <f aca="false">AD164*0.6</f>
        <v>33.12</v>
      </c>
      <c r="AF164" s="33"/>
      <c r="AG164" s="46" t="n">
        <v>0</v>
      </c>
      <c r="AH164" s="21"/>
      <c r="AI164" s="33" t="n">
        <v>8.03</v>
      </c>
      <c r="AJ164" s="23" t="n">
        <v>17</v>
      </c>
      <c r="AK164" s="33" t="n">
        <v>55.2</v>
      </c>
      <c r="AL164" s="33" t="n">
        <f aca="false">AK164*0.6</f>
        <v>33.12</v>
      </c>
      <c r="AM164" s="33"/>
      <c r="AN164" s="46" t="n">
        <v>0</v>
      </c>
      <c r="AO164" s="2" t="n">
        <v>6.21</v>
      </c>
      <c r="AP164" s="23" t="n">
        <v>16.1</v>
      </c>
      <c r="AQ164" s="33" t="n">
        <v>205</v>
      </c>
      <c r="AR164" s="33" t="n">
        <f aca="false">AQ164*0.55</f>
        <v>112.75</v>
      </c>
      <c r="AS164" s="46" t="n">
        <v>0</v>
      </c>
      <c r="AT164" s="33" t="n">
        <v>7.37</v>
      </c>
      <c r="AU164" s="23" t="n">
        <v>17.6</v>
      </c>
      <c r="AV164" s="33" t="n">
        <v>292</v>
      </c>
      <c r="AW164" s="33" t="n">
        <f aca="false">AV164*0.55</f>
        <v>160.6</v>
      </c>
      <c r="AX164" s="34"/>
      <c r="AY164" s="46" t="n">
        <v>0</v>
      </c>
    </row>
    <row r="165" customFormat="false" ht="15" hidden="false" customHeight="false" outlineLevel="0" collapsed="false">
      <c r="A165" s="16" t="s">
        <v>70</v>
      </c>
      <c r="B165" s="2" t="s">
        <v>52</v>
      </c>
      <c r="C165" s="32" t="n">
        <v>8.21</v>
      </c>
      <c r="D165" s="23" t="n">
        <v>15.1</v>
      </c>
      <c r="E165" s="33" t="n">
        <v>54.3</v>
      </c>
      <c r="F165" s="33" t="n">
        <f aca="false">E165*0.6</f>
        <v>32.58</v>
      </c>
      <c r="G165" s="33" t="n">
        <v>0.89</v>
      </c>
      <c r="H165" s="33" t="n">
        <v>8.19</v>
      </c>
      <c r="I165" s="23" t="n">
        <v>15.4</v>
      </c>
      <c r="J165" s="50"/>
      <c r="K165" s="49"/>
      <c r="L165" s="49" t="n">
        <v>1.81</v>
      </c>
      <c r="M165" s="33" t="n">
        <v>8.19</v>
      </c>
      <c r="N165" s="23" t="n">
        <v>15.4</v>
      </c>
      <c r="O165" s="49"/>
      <c r="P165" s="49"/>
      <c r="Q165" s="33" t="n">
        <v>3.22</v>
      </c>
      <c r="R165" s="33" t="n">
        <v>8.12</v>
      </c>
      <c r="S165" s="23" t="n">
        <v>16</v>
      </c>
      <c r="T165" s="49"/>
      <c r="U165" s="49"/>
      <c r="V165" s="46" t="n">
        <v>0</v>
      </c>
      <c r="W165" s="33" t="n">
        <v>8.12</v>
      </c>
      <c r="X165" s="23" t="n">
        <v>16</v>
      </c>
      <c r="Y165" s="49"/>
      <c r="Z165" s="49"/>
      <c r="AA165" s="46" t="n">
        <v>0</v>
      </c>
      <c r="AB165" s="33" t="n">
        <v>8.09</v>
      </c>
      <c r="AC165" s="23" t="n">
        <v>16.3</v>
      </c>
      <c r="AD165" s="33" t="n">
        <v>54.2</v>
      </c>
      <c r="AE165" s="33" t="n">
        <f aca="false">AD165*0.6</f>
        <v>32.52</v>
      </c>
      <c r="AF165" s="33"/>
      <c r="AG165" s="46" t="n">
        <v>0</v>
      </c>
      <c r="AH165" s="21"/>
      <c r="AI165" s="33" t="n">
        <v>8.09</v>
      </c>
      <c r="AJ165" s="23" t="n">
        <v>16.3</v>
      </c>
      <c r="AK165" s="33" t="n">
        <v>54.2</v>
      </c>
      <c r="AL165" s="33" t="n">
        <f aca="false">AK165*0.6</f>
        <v>32.52</v>
      </c>
      <c r="AM165" s="33"/>
      <c r="AN165" s="46" t="n">
        <v>0</v>
      </c>
      <c r="AO165" s="2" t="n">
        <v>6.23</v>
      </c>
      <c r="AP165" s="23" t="n">
        <v>16.1</v>
      </c>
      <c r="AQ165" s="33" t="n">
        <v>201</v>
      </c>
      <c r="AR165" s="35" t="n">
        <f aca="false">AQ165*0.5</f>
        <v>100.5</v>
      </c>
      <c r="AS165" s="46" t="n">
        <v>0</v>
      </c>
      <c r="AT165" s="33" t="n">
        <v>7.38</v>
      </c>
      <c r="AU165" s="23" t="n">
        <v>16.2</v>
      </c>
      <c r="AV165" s="33" t="n">
        <v>292</v>
      </c>
      <c r="AW165" s="35" t="n">
        <f aca="false">AV165*0.55</f>
        <v>160.6</v>
      </c>
      <c r="AX165" s="34" t="n">
        <v>1.06</v>
      </c>
      <c r="AY165" s="46" t="n">
        <v>0</v>
      </c>
    </row>
    <row r="166" customFormat="false" ht="15" hidden="false" customHeight="false" outlineLevel="0" collapsed="false">
      <c r="A166" s="16" t="s">
        <v>70</v>
      </c>
      <c r="B166" s="2" t="s">
        <v>57</v>
      </c>
      <c r="C166" s="32" t="n">
        <v>8.23</v>
      </c>
      <c r="D166" s="23" t="n">
        <v>16</v>
      </c>
      <c r="E166" s="33" t="n">
        <v>54.4</v>
      </c>
      <c r="F166" s="33" t="n">
        <f aca="false">E166*0.6</f>
        <v>32.64</v>
      </c>
      <c r="G166" s="33" t="n">
        <v>1.12</v>
      </c>
      <c r="H166" s="33" t="n">
        <v>8.19</v>
      </c>
      <c r="I166" s="23" t="n">
        <v>16.2</v>
      </c>
      <c r="J166" s="49"/>
      <c r="K166" s="49"/>
      <c r="L166" s="49" t="n">
        <v>1.2</v>
      </c>
      <c r="M166" s="33" t="n">
        <v>8.19</v>
      </c>
      <c r="N166" s="23" t="n">
        <v>16.2</v>
      </c>
      <c r="O166" s="49"/>
      <c r="P166" s="49"/>
      <c r="Q166" s="33" t="n">
        <v>1.11</v>
      </c>
      <c r="R166" s="33" t="n">
        <v>8.1</v>
      </c>
      <c r="S166" s="23" t="n">
        <v>17</v>
      </c>
      <c r="T166" s="49"/>
      <c r="U166" s="49"/>
      <c r="V166" s="46" t="n">
        <v>0</v>
      </c>
      <c r="W166" s="33" t="n">
        <v>8.1</v>
      </c>
      <c r="X166" s="23" t="n">
        <v>17</v>
      </c>
      <c r="Y166" s="49"/>
      <c r="Z166" s="49"/>
      <c r="AA166" s="46" t="n">
        <v>0</v>
      </c>
      <c r="AB166" s="33" t="n">
        <v>8.08</v>
      </c>
      <c r="AC166" s="23" t="n">
        <v>16.8</v>
      </c>
      <c r="AD166" s="33" t="n">
        <v>54.3</v>
      </c>
      <c r="AE166" s="33" t="n">
        <f aca="false">AD166*0.6</f>
        <v>32.58</v>
      </c>
      <c r="AF166" s="33"/>
      <c r="AG166" s="46" t="n">
        <v>0</v>
      </c>
      <c r="AH166" s="21"/>
      <c r="AI166" s="33" t="n">
        <v>8.08</v>
      </c>
      <c r="AJ166" s="23" t="n">
        <v>16.8</v>
      </c>
      <c r="AK166" s="33" t="n">
        <v>54.3</v>
      </c>
      <c r="AL166" s="33" t="n">
        <f aca="false">AK166*0.6</f>
        <v>32.58</v>
      </c>
      <c r="AM166" s="33"/>
      <c r="AN166" s="46" t="n">
        <v>0</v>
      </c>
      <c r="AO166" s="2" t="n">
        <v>6.15</v>
      </c>
      <c r="AP166" s="23" t="n">
        <v>17.3</v>
      </c>
      <c r="AQ166" s="33" t="n">
        <v>183.8</v>
      </c>
      <c r="AR166" s="35" t="n">
        <f aca="false">AQ166*0.5</f>
        <v>91.9</v>
      </c>
      <c r="AS166" s="46" t="n">
        <v>0</v>
      </c>
      <c r="AT166" s="33" t="n">
        <v>7.27</v>
      </c>
      <c r="AU166" s="23" t="n">
        <v>17.6</v>
      </c>
      <c r="AV166" s="33" t="n">
        <v>291</v>
      </c>
      <c r="AW166" s="35" t="n">
        <f aca="false">AV166*0.55</f>
        <v>160.05</v>
      </c>
      <c r="AX166" s="34"/>
      <c r="AY166" s="46" t="n">
        <v>0</v>
      </c>
    </row>
    <row r="167" customFormat="false" ht="15" hidden="false" customHeight="false" outlineLevel="0" collapsed="false">
      <c r="A167" s="16" t="s">
        <v>71</v>
      </c>
      <c r="B167" s="2" t="s">
        <v>51</v>
      </c>
      <c r="C167" s="32" t="n">
        <v>8.17</v>
      </c>
      <c r="D167" s="23" t="n">
        <v>16.2</v>
      </c>
      <c r="E167" s="33" t="n">
        <v>54.6</v>
      </c>
      <c r="F167" s="33" t="n">
        <f aca="false">E167*0.6</f>
        <v>32.76</v>
      </c>
      <c r="G167" s="33" t="n">
        <v>0.44</v>
      </c>
      <c r="H167" s="33" t="n">
        <v>8.13</v>
      </c>
      <c r="I167" s="33" t="n">
        <v>16.4</v>
      </c>
      <c r="J167" s="49"/>
      <c r="K167" s="49"/>
      <c r="L167" s="49" t="n">
        <v>1.74</v>
      </c>
      <c r="M167" s="33" t="n">
        <v>8.13</v>
      </c>
      <c r="N167" s="33" t="n">
        <v>16.45</v>
      </c>
      <c r="O167" s="49"/>
      <c r="P167" s="49"/>
      <c r="Q167" s="33" t="n">
        <v>1.45</v>
      </c>
      <c r="R167" s="33" t="n">
        <v>8.1</v>
      </c>
      <c r="S167" s="23" t="n">
        <v>17</v>
      </c>
      <c r="T167" s="49"/>
      <c r="U167" s="49"/>
      <c r="V167" s="46" t="n">
        <v>0</v>
      </c>
      <c r="W167" s="33" t="n">
        <v>8.1</v>
      </c>
      <c r="X167" s="23" t="n">
        <v>14</v>
      </c>
      <c r="Y167" s="49"/>
      <c r="Z167" s="49"/>
      <c r="AA167" s="46" t="n">
        <v>0</v>
      </c>
      <c r="AB167" s="33" t="n">
        <v>8.06</v>
      </c>
      <c r="AC167" s="23" t="n">
        <v>16.8</v>
      </c>
      <c r="AD167" s="33" t="n">
        <v>54.5</v>
      </c>
      <c r="AE167" s="33" t="n">
        <f aca="false">AD167*0.6</f>
        <v>32.7</v>
      </c>
      <c r="AF167" s="33"/>
      <c r="AG167" s="46" t="n">
        <v>0</v>
      </c>
      <c r="AH167" s="21"/>
      <c r="AI167" s="33" t="n">
        <v>8.06</v>
      </c>
      <c r="AJ167" s="23" t="n">
        <v>16.8</v>
      </c>
      <c r="AK167" s="33" t="n">
        <v>54.5</v>
      </c>
      <c r="AL167" s="33" t="n">
        <f aca="false">AK167*0.6</f>
        <v>32.7</v>
      </c>
      <c r="AM167" s="33"/>
      <c r="AN167" s="46" t="n">
        <v>0</v>
      </c>
      <c r="AO167" s="2" t="n">
        <v>6.2</v>
      </c>
      <c r="AP167" s="23" t="n">
        <v>16.6</v>
      </c>
      <c r="AQ167" s="33" t="n">
        <v>184</v>
      </c>
      <c r="AR167" s="33" t="n">
        <f aca="false">AQ167*0.55</f>
        <v>101.2</v>
      </c>
      <c r="AS167" s="46" t="n">
        <v>0</v>
      </c>
      <c r="AT167" s="33" t="n">
        <v>7.34</v>
      </c>
      <c r="AU167" s="23" t="n">
        <v>16.7</v>
      </c>
      <c r="AV167" s="33" t="n">
        <v>290</v>
      </c>
      <c r="AW167" s="33" t="n">
        <f aca="false">AV167*0.55</f>
        <v>159.5</v>
      </c>
      <c r="AX167" s="34"/>
      <c r="AY167" s="46" t="n">
        <v>0</v>
      </c>
    </row>
    <row r="168" customFormat="false" ht="15" hidden="false" customHeight="false" outlineLevel="0" collapsed="false">
      <c r="A168" s="16" t="s">
        <v>71</v>
      </c>
      <c r="B168" s="2" t="s">
        <v>52</v>
      </c>
      <c r="C168" s="32" t="n">
        <v>8.17</v>
      </c>
      <c r="D168" s="23" t="n">
        <v>18.7</v>
      </c>
      <c r="E168" s="33" t="n">
        <v>54.4</v>
      </c>
      <c r="F168" s="33" t="n">
        <f aca="false">E168*0.6</f>
        <v>32.64</v>
      </c>
      <c r="G168" s="33" t="n">
        <v>1.97</v>
      </c>
      <c r="H168" s="33" t="n">
        <v>8.09</v>
      </c>
      <c r="I168" s="23" t="n">
        <v>17.7</v>
      </c>
      <c r="J168" s="50"/>
      <c r="K168" s="49"/>
      <c r="L168" s="49" t="n">
        <v>1.54</v>
      </c>
      <c r="M168" s="33" t="n">
        <v>8.09</v>
      </c>
      <c r="N168" s="23" t="n">
        <v>17.7</v>
      </c>
      <c r="O168" s="49"/>
      <c r="P168" s="49"/>
      <c r="Q168" s="33" t="n">
        <v>1.64</v>
      </c>
      <c r="R168" s="33" t="n">
        <v>8.08</v>
      </c>
      <c r="S168" s="23" t="n">
        <v>17.6</v>
      </c>
      <c r="T168" s="49"/>
      <c r="U168" s="49"/>
      <c r="V168" s="46" t="n">
        <v>0</v>
      </c>
      <c r="W168" s="33" t="n">
        <v>8.08</v>
      </c>
      <c r="X168" s="23" t="n">
        <v>17.6</v>
      </c>
      <c r="Y168" s="49"/>
      <c r="Z168" s="49"/>
      <c r="AA168" s="46" t="n">
        <v>0</v>
      </c>
      <c r="AB168" s="33" t="n">
        <v>8.04</v>
      </c>
      <c r="AC168" s="23" t="n">
        <v>16.5</v>
      </c>
      <c r="AD168" s="33" t="n">
        <v>54.3</v>
      </c>
      <c r="AE168" s="33" t="n">
        <f aca="false">AD168*0.6</f>
        <v>32.58</v>
      </c>
      <c r="AF168" s="33"/>
      <c r="AG168" s="46" t="n">
        <v>0</v>
      </c>
      <c r="AH168" s="21"/>
      <c r="AI168" s="33" t="n">
        <v>8.04</v>
      </c>
      <c r="AJ168" s="23" t="n">
        <v>16.6</v>
      </c>
      <c r="AK168" s="33" t="n">
        <v>54.3</v>
      </c>
      <c r="AL168" s="33" t="n">
        <f aca="false">AK168*0.6</f>
        <v>32.58</v>
      </c>
      <c r="AM168" s="33"/>
      <c r="AN168" s="46" t="n">
        <v>0</v>
      </c>
      <c r="AO168" s="2" t="n">
        <v>6.23</v>
      </c>
      <c r="AP168" s="23" t="n">
        <v>17</v>
      </c>
      <c r="AQ168" s="33" t="n">
        <v>199.1</v>
      </c>
      <c r="AR168" s="35" t="n">
        <f aca="false">AQ168*0.55</f>
        <v>109.505</v>
      </c>
      <c r="AS168" s="46" t="n">
        <v>0</v>
      </c>
      <c r="AT168" s="33" t="n">
        <v>7.21</v>
      </c>
      <c r="AU168" s="23" t="n">
        <v>17.2</v>
      </c>
      <c r="AV168" s="33" t="n">
        <v>284</v>
      </c>
      <c r="AW168" s="35" t="n">
        <f aca="false">AV168*0.55</f>
        <v>156.2</v>
      </c>
      <c r="AX168" s="34" t="n">
        <v>1</v>
      </c>
      <c r="AY168" s="46" t="n">
        <v>0</v>
      </c>
    </row>
    <row r="169" customFormat="false" ht="15" hidden="false" customHeight="false" outlineLevel="0" collapsed="false">
      <c r="A169" s="16" t="s">
        <v>71</v>
      </c>
      <c r="B169" s="2" t="s">
        <v>57</v>
      </c>
      <c r="C169" s="32" t="n">
        <v>8.18</v>
      </c>
      <c r="D169" s="23" t="n">
        <v>18.6</v>
      </c>
      <c r="E169" s="33" t="n">
        <v>54.3</v>
      </c>
      <c r="F169" s="33" t="n">
        <f aca="false">E169*0.6</f>
        <v>32.58</v>
      </c>
      <c r="G169" s="33" t="n">
        <v>0.88</v>
      </c>
      <c r="H169" s="33" t="n">
        <v>8.11</v>
      </c>
      <c r="I169" s="23" t="n">
        <v>18.2</v>
      </c>
      <c r="J169" s="49"/>
      <c r="K169" s="49"/>
      <c r="L169" s="49" t="n">
        <v>1.08</v>
      </c>
      <c r="M169" s="33" t="n">
        <v>8.11</v>
      </c>
      <c r="N169" s="23" t="n">
        <v>18.2</v>
      </c>
      <c r="O169" s="49"/>
      <c r="P169" s="49"/>
      <c r="Q169" s="33" t="n">
        <v>1.09</v>
      </c>
      <c r="R169" s="33" t="n">
        <v>8.09</v>
      </c>
      <c r="S169" s="23" t="n">
        <v>17.3</v>
      </c>
      <c r="T169" s="49"/>
      <c r="U169" s="49"/>
      <c r="V169" s="46" t="n">
        <v>0</v>
      </c>
      <c r="W169" s="33" t="n">
        <v>8.09</v>
      </c>
      <c r="X169" s="23" t="n">
        <v>17.3</v>
      </c>
      <c r="Y169" s="49"/>
      <c r="Z169" s="49"/>
      <c r="AA169" s="46" t="n">
        <v>0</v>
      </c>
      <c r="AB169" s="33" t="n">
        <v>8.02</v>
      </c>
      <c r="AC169" s="23" t="n">
        <v>16.7</v>
      </c>
      <c r="AD169" s="33" t="n">
        <v>54.3</v>
      </c>
      <c r="AE169" s="33" t="n">
        <f aca="false">AD169*0.6</f>
        <v>32.58</v>
      </c>
      <c r="AF169" s="33"/>
      <c r="AG169" s="46" t="n">
        <v>0</v>
      </c>
      <c r="AH169" s="21"/>
      <c r="AI169" s="33" t="n">
        <v>8.02</v>
      </c>
      <c r="AJ169" s="23" t="n">
        <v>16.7</v>
      </c>
      <c r="AK169" s="33" t="n">
        <v>54.3</v>
      </c>
      <c r="AL169" s="33" t="n">
        <f aca="false">AK169*0.6</f>
        <v>32.58</v>
      </c>
      <c r="AM169" s="33"/>
      <c r="AN169" s="46" t="n">
        <v>0</v>
      </c>
      <c r="AO169" s="2" t="n">
        <v>6.04</v>
      </c>
      <c r="AP169" s="23" t="n">
        <v>17</v>
      </c>
      <c r="AQ169" s="33" t="n">
        <v>194.2</v>
      </c>
      <c r="AR169" s="35" t="n">
        <f aca="false">AQ169*0.55</f>
        <v>106.81</v>
      </c>
      <c r="AS169" s="46" t="n">
        <v>0</v>
      </c>
      <c r="AT169" s="33" t="n">
        <v>7.17</v>
      </c>
      <c r="AU169" s="23" t="n">
        <v>17.3</v>
      </c>
      <c r="AV169" s="33" t="n">
        <v>287</v>
      </c>
      <c r="AW169" s="35" t="n">
        <f aca="false">AV169*0.55</f>
        <v>157.85</v>
      </c>
      <c r="AX169" s="34"/>
      <c r="AY169" s="46" t="n">
        <v>0</v>
      </c>
    </row>
    <row r="170" customFormat="false" ht="15" hidden="false" customHeight="false" outlineLevel="0" collapsed="false">
      <c r="A170" s="16" t="s">
        <v>72</v>
      </c>
      <c r="B170" s="2" t="s">
        <v>51</v>
      </c>
      <c r="C170" s="32" t="n">
        <v>8.2</v>
      </c>
      <c r="D170" s="23" t="n">
        <v>16.9</v>
      </c>
      <c r="E170" s="33" t="n">
        <v>54.2</v>
      </c>
      <c r="F170" s="33" t="n">
        <f aca="false">E170*0.6</f>
        <v>32.52</v>
      </c>
      <c r="G170" s="33" t="n">
        <v>0.33</v>
      </c>
      <c r="H170" s="33" t="n">
        <v>8.15</v>
      </c>
      <c r="I170" s="33" t="n">
        <v>16.8</v>
      </c>
      <c r="J170" s="49"/>
      <c r="K170" s="49"/>
      <c r="L170" s="49" t="n">
        <v>1.06</v>
      </c>
      <c r="M170" s="33" t="n">
        <v>8.15</v>
      </c>
      <c r="N170" s="33" t="n">
        <v>16.8</v>
      </c>
      <c r="O170" s="49"/>
      <c r="P170" s="49"/>
      <c r="Q170" s="33" t="n">
        <v>0.87</v>
      </c>
      <c r="R170" s="33" t="n">
        <v>8.1</v>
      </c>
      <c r="S170" s="23" t="n">
        <v>16.6</v>
      </c>
      <c r="T170" s="49"/>
      <c r="U170" s="49"/>
      <c r="V170" s="46" t="n">
        <v>0</v>
      </c>
      <c r="W170" s="33" t="n">
        <v>8.1</v>
      </c>
      <c r="X170" s="23" t="n">
        <v>16.6</v>
      </c>
      <c r="Y170" s="49"/>
      <c r="Z170" s="49"/>
      <c r="AA170" s="46" t="n">
        <v>0</v>
      </c>
      <c r="AB170" s="33" t="n">
        <v>8.09</v>
      </c>
      <c r="AC170" s="23" t="n">
        <v>16.2</v>
      </c>
      <c r="AD170" s="33" t="n">
        <v>54.2</v>
      </c>
      <c r="AE170" s="33" t="n">
        <f aca="false">AD170*0.6</f>
        <v>32.52</v>
      </c>
      <c r="AF170" s="33"/>
      <c r="AG170" s="46" t="n">
        <v>0</v>
      </c>
      <c r="AH170" s="21"/>
      <c r="AI170" s="33" t="n">
        <v>8.02</v>
      </c>
      <c r="AJ170" s="23" t="n">
        <v>16.2</v>
      </c>
      <c r="AK170" s="33" t="n">
        <v>54.2</v>
      </c>
      <c r="AL170" s="33" t="n">
        <f aca="false">AK170*0.6</f>
        <v>32.52</v>
      </c>
      <c r="AM170" s="33"/>
      <c r="AN170" s="46" t="n">
        <v>0</v>
      </c>
      <c r="AO170" s="2" t="n">
        <v>6.39</v>
      </c>
      <c r="AP170" s="23" t="n">
        <v>16.6</v>
      </c>
      <c r="AQ170" s="33" t="n">
        <v>198</v>
      </c>
      <c r="AR170" s="33" t="n">
        <f aca="false">AQ170*0.55</f>
        <v>108.9</v>
      </c>
      <c r="AS170" s="46" t="n">
        <v>0</v>
      </c>
      <c r="AT170" s="33" t="n">
        <v>7.29</v>
      </c>
      <c r="AU170" s="23" t="n">
        <v>17.2</v>
      </c>
      <c r="AV170" s="33" t="n">
        <v>287</v>
      </c>
      <c r="AW170" s="33" t="n">
        <f aca="false">AV170*0.55</f>
        <v>157.85</v>
      </c>
      <c r="AX170" s="34"/>
      <c r="AY170" s="46" t="n">
        <v>0</v>
      </c>
    </row>
    <row r="171" customFormat="false" ht="15" hidden="false" customHeight="false" outlineLevel="0" collapsed="false">
      <c r="A171" s="16" t="s">
        <v>72</v>
      </c>
      <c r="B171" s="2" t="s">
        <v>52</v>
      </c>
      <c r="C171" s="32" t="n">
        <v>8.23</v>
      </c>
      <c r="D171" s="23" t="n">
        <v>17.3</v>
      </c>
      <c r="E171" s="33" t="n">
        <v>54.6</v>
      </c>
      <c r="F171" s="33" t="n">
        <f aca="false">E171*0.6</f>
        <v>32.76</v>
      </c>
      <c r="G171" s="33" t="n">
        <v>0.25</v>
      </c>
      <c r="H171" s="33" t="n">
        <v>8.15</v>
      </c>
      <c r="I171" s="23" t="n">
        <v>16.5</v>
      </c>
      <c r="J171" s="50"/>
      <c r="K171" s="49"/>
      <c r="L171" s="49" t="n">
        <v>1.47</v>
      </c>
      <c r="M171" s="33" t="n">
        <v>8.15</v>
      </c>
      <c r="N171" s="23" t="n">
        <v>16.5</v>
      </c>
      <c r="O171" s="49"/>
      <c r="P171" s="49"/>
      <c r="Q171" s="33" t="n">
        <v>0.79</v>
      </c>
      <c r="R171" s="33" t="n">
        <v>8.11</v>
      </c>
      <c r="S171" s="23" t="n">
        <v>16.6</v>
      </c>
      <c r="T171" s="49"/>
      <c r="U171" s="49"/>
      <c r="V171" s="46" t="n">
        <v>0</v>
      </c>
      <c r="W171" s="33" t="n">
        <v>8.11</v>
      </c>
      <c r="X171" s="23" t="n">
        <v>16.6</v>
      </c>
      <c r="Y171" s="49"/>
      <c r="Z171" s="49"/>
      <c r="AA171" s="46" t="n">
        <v>0</v>
      </c>
      <c r="AB171" s="33" t="n">
        <v>8.04</v>
      </c>
      <c r="AC171" s="23" t="n">
        <v>17.1</v>
      </c>
      <c r="AD171" s="33" t="n">
        <v>54.6</v>
      </c>
      <c r="AE171" s="33" t="n">
        <f aca="false">AD171*0.6</f>
        <v>32.76</v>
      </c>
      <c r="AF171" s="33"/>
      <c r="AG171" s="46" t="n">
        <v>0</v>
      </c>
      <c r="AH171" s="21"/>
      <c r="AI171" s="33" t="n">
        <v>8.04</v>
      </c>
      <c r="AJ171" s="23" t="n">
        <v>17.1</v>
      </c>
      <c r="AK171" s="33" t="n">
        <v>54.6</v>
      </c>
      <c r="AL171" s="33" t="n">
        <f aca="false">AK171*0.6</f>
        <v>32.76</v>
      </c>
      <c r="AM171" s="33"/>
      <c r="AN171" s="46" t="n">
        <v>0</v>
      </c>
      <c r="AO171" s="2" t="n">
        <v>6.27</v>
      </c>
      <c r="AP171" s="23" t="n">
        <v>17</v>
      </c>
      <c r="AQ171" s="33" t="n">
        <v>180</v>
      </c>
      <c r="AR171" s="35" t="n">
        <f aca="false">AQ171*0.5</f>
        <v>90</v>
      </c>
      <c r="AS171" s="46" t="n">
        <v>0</v>
      </c>
      <c r="AT171" s="33" t="n">
        <v>7.2</v>
      </c>
      <c r="AU171" s="23" t="n">
        <v>17.7</v>
      </c>
      <c r="AV171" s="33" t="n">
        <v>288</v>
      </c>
      <c r="AW171" s="35" t="n">
        <f aca="false">AV171*0.55</f>
        <v>158.4</v>
      </c>
      <c r="AX171" s="34" t="n">
        <v>0.91</v>
      </c>
      <c r="AY171" s="46" t="n">
        <v>0</v>
      </c>
    </row>
    <row r="172" customFormat="false" ht="15" hidden="false" customHeight="false" outlineLevel="0" collapsed="false">
      <c r="A172" s="16" t="s">
        <v>72</v>
      </c>
      <c r="B172" s="2" t="s">
        <v>57</v>
      </c>
      <c r="C172" s="32" t="n">
        <v>8.19</v>
      </c>
      <c r="D172" s="23" t="n">
        <v>16.8</v>
      </c>
      <c r="E172" s="33" t="n">
        <v>54.4</v>
      </c>
      <c r="F172" s="33" t="n">
        <f aca="false">E172*0.6</f>
        <v>32.64</v>
      </c>
      <c r="G172" s="33" t="n">
        <v>2.56</v>
      </c>
      <c r="H172" s="33" t="n">
        <v>8.12</v>
      </c>
      <c r="I172" s="23" t="n">
        <v>16.5</v>
      </c>
      <c r="J172" s="49"/>
      <c r="K172" s="49"/>
      <c r="L172" s="49" t="n">
        <v>1.38</v>
      </c>
      <c r="M172" s="33" t="n">
        <v>8.12</v>
      </c>
      <c r="N172" s="23" t="n">
        <v>16.5</v>
      </c>
      <c r="O172" s="49"/>
      <c r="P172" s="49"/>
      <c r="Q172" s="33" t="n">
        <v>1.17</v>
      </c>
      <c r="R172" s="33" t="n">
        <v>8.1</v>
      </c>
      <c r="S172" s="23" t="n">
        <v>16.4</v>
      </c>
      <c r="T172" s="49"/>
      <c r="U172" s="49"/>
      <c r="V172" s="46" t="n">
        <v>0</v>
      </c>
      <c r="W172" s="33" t="n">
        <v>8.1</v>
      </c>
      <c r="X172" s="23" t="n">
        <v>16.4</v>
      </c>
      <c r="Y172" s="49"/>
      <c r="Z172" s="49"/>
      <c r="AA172" s="46" t="n">
        <v>0</v>
      </c>
      <c r="AB172" s="33" t="n">
        <v>8.06</v>
      </c>
      <c r="AC172" s="23" t="n">
        <v>16.4</v>
      </c>
      <c r="AD172" s="33" t="n">
        <v>54.4</v>
      </c>
      <c r="AE172" s="33" t="n">
        <f aca="false">AD172*0.6</f>
        <v>32.64</v>
      </c>
      <c r="AF172" s="33"/>
      <c r="AG172" s="46" t="n">
        <v>0</v>
      </c>
      <c r="AH172" s="21"/>
      <c r="AI172" s="33" t="n">
        <v>8.06</v>
      </c>
      <c r="AJ172" s="23" t="n">
        <v>16.4</v>
      </c>
      <c r="AK172" s="33" t="n">
        <v>54.4</v>
      </c>
      <c r="AL172" s="33" t="n">
        <f aca="false">AK172*0.6</f>
        <v>32.64</v>
      </c>
      <c r="AM172" s="33"/>
      <c r="AN172" s="46" t="n">
        <v>0</v>
      </c>
      <c r="AO172" s="2" t="n">
        <v>6.25</v>
      </c>
      <c r="AP172" s="23" t="n">
        <v>17</v>
      </c>
      <c r="AQ172" s="33" t="n">
        <v>175.8</v>
      </c>
      <c r="AR172" s="35" t="n">
        <f aca="false">AQ172*0.5</f>
        <v>87.9</v>
      </c>
      <c r="AS172" s="46" t="n">
        <v>0</v>
      </c>
      <c r="AT172" s="33" t="n">
        <v>7.44</v>
      </c>
      <c r="AU172" s="23" t="n">
        <v>16.7</v>
      </c>
      <c r="AV172" s="33" t="n">
        <v>291</v>
      </c>
      <c r="AW172" s="35" t="n">
        <f aca="false">AV172*0.55</f>
        <v>160.05</v>
      </c>
      <c r="AX172" s="34"/>
      <c r="AY172" s="46" t="n">
        <v>0</v>
      </c>
    </row>
    <row r="173" customFormat="false" ht="15" hidden="false" customHeight="false" outlineLevel="0" collapsed="false">
      <c r="A173" s="16" t="s">
        <v>73</v>
      </c>
      <c r="B173" s="2" t="s">
        <v>51</v>
      </c>
      <c r="C173" s="32" t="n">
        <v>8.21</v>
      </c>
      <c r="D173" s="23" t="n">
        <v>15.9</v>
      </c>
      <c r="E173" s="33" t="n">
        <v>54.4</v>
      </c>
      <c r="F173" s="33" t="n">
        <f aca="false">E173*0.6</f>
        <v>32.64</v>
      </c>
      <c r="G173" s="33" t="n">
        <v>0.77</v>
      </c>
      <c r="H173" s="33" t="n">
        <v>8.19</v>
      </c>
      <c r="I173" s="33" t="n">
        <v>16</v>
      </c>
      <c r="J173" s="49"/>
      <c r="K173" s="49"/>
      <c r="L173" s="49" t="n">
        <v>0.58</v>
      </c>
      <c r="M173" s="33" t="n">
        <v>8.19</v>
      </c>
      <c r="N173" s="33" t="n">
        <v>16</v>
      </c>
      <c r="O173" s="49"/>
      <c r="P173" s="49"/>
      <c r="Q173" s="33" t="n">
        <v>1.33</v>
      </c>
      <c r="R173" s="33" t="n">
        <v>8.15</v>
      </c>
      <c r="S173" s="23" t="n">
        <v>17</v>
      </c>
      <c r="T173" s="49"/>
      <c r="U173" s="49"/>
      <c r="V173" s="46" t="n">
        <v>0</v>
      </c>
      <c r="W173" s="33" t="n">
        <v>8.15</v>
      </c>
      <c r="X173" s="23" t="n">
        <v>17</v>
      </c>
      <c r="Y173" s="49"/>
      <c r="Z173" s="49"/>
      <c r="AA173" s="46" t="n">
        <v>0</v>
      </c>
      <c r="AB173" s="33" t="n">
        <v>8.08</v>
      </c>
      <c r="AC173" s="23" t="n">
        <v>16.8</v>
      </c>
      <c r="AD173" s="33" t="n">
        <v>54.3</v>
      </c>
      <c r="AE173" s="33" t="n">
        <f aca="false">AD173*0.6</f>
        <v>32.58</v>
      </c>
      <c r="AF173" s="33"/>
      <c r="AG173" s="46" t="n">
        <v>0</v>
      </c>
      <c r="AH173" s="21"/>
      <c r="AI173" s="33" t="n">
        <v>8.08</v>
      </c>
      <c r="AJ173" s="23" t="n">
        <v>16.8</v>
      </c>
      <c r="AK173" s="33" t="n">
        <v>54.3</v>
      </c>
      <c r="AL173" s="33" t="n">
        <f aca="false">AK173*0.6</f>
        <v>32.58</v>
      </c>
      <c r="AM173" s="33"/>
      <c r="AN173" s="46" t="n">
        <v>0</v>
      </c>
      <c r="AO173" s="2" t="n">
        <v>6.42</v>
      </c>
      <c r="AP173" s="23" t="n">
        <v>16.1</v>
      </c>
      <c r="AQ173" s="33" t="n">
        <v>201</v>
      </c>
      <c r="AR173" s="33" t="n">
        <f aca="false">AQ173*0.55</f>
        <v>110.55</v>
      </c>
      <c r="AS173" s="46" t="n">
        <v>0</v>
      </c>
      <c r="AT173" s="33" t="n">
        <v>7.79</v>
      </c>
      <c r="AU173" s="23" t="n">
        <v>17</v>
      </c>
      <c r="AV173" s="33" t="n">
        <v>299</v>
      </c>
      <c r="AW173" s="33" t="n">
        <f aca="false">AV173*0.55</f>
        <v>164.45</v>
      </c>
      <c r="AX173" s="34" t="n">
        <v>1</v>
      </c>
      <c r="AY173" s="46" t="n">
        <v>0</v>
      </c>
    </row>
    <row r="174" customFormat="false" ht="15" hidden="false" customHeight="false" outlineLevel="0" collapsed="false">
      <c r="A174" s="16" t="s">
        <v>73</v>
      </c>
      <c r="B174" s="2" t="s">
        <v>52</v>
      </c>
      <c r="C174" s="32" t="n">
        <v>8.16</v>
      </c>
      <c r="D174" s="23" t="n">
        <v>16.4</v>
      </c>
      <c r="E174" s="33" t="n">
        <v>54.6</v>
      </c>
      <c r="F174" s="33" t="n">
        <f aca="false">E174*0.6</f>
        <v>32.76</v>
      </c>
      <c r="G174" s="33" t="n">
        <v>0.38</v>
      </c>
      <c r="H174" s="33" t="n">
        <v>8.13</v>
      </c>
      <c r="I174" s="23" t="n">
        <v>16.2</v>
      </c>
      <c r="J174" s="50"/>
      <c r="K174" s="49"/>
      <c r="L174" s="49" t="n">
        <v>1.01</v>
      </c>
      <c r="M174" s="33" t="n">
        <v>8.13</v>
      </c>
      <c r="N174" s="23" t="n">
        <v>16.2</v>
      </c>
      <c r="O174" s="49"/>
      <c r="P174" s="49"/>
      <c r="Q174" s="33" t="n">
        <v>0.99</v>
      </c>
      <c r="R174" s="33" t="n">
        <v>8.11</v>
      </c>
      <c r="S174" s="23" t="n">
        <v>16.1</v>
      </c>
      <c r="T174" s="49"/>
      <c r="U174" s="49"/>
      <c r="V174" s="46" t="n">
        <v>0</v>
      </c>
      <c r="W174" s="33" t="n">
        <v>8.11</v>
      </c>
      <c r="X174" s="23" t="n">
        <v>16.1</v>
      </c>
      <c r="Y174" s="49"/>
      <c r="Z174" s="49"/>
      <c r="AA174" s="46" t="n">
        <v>0</v>
      </c>
      <c r="AB174" s="33" t="n">
        <v>8.08</v>
      </c>
      <c r="AC174" s="23" t="n">
        <v>16.4</v>
      </c>
      <c r="AD174" s="33" t="n">
        <v>54.6</v>
      </c>
      <c r="AE174" s="33" t="n">
        <f aca="false">AD174*0.6</f>
        <v>32.76</v>
      </c>
      <c r="AF174" s="33"/>
      <c r="AG174" s="46" t="n">
        <v>0</v>
      </c>
      <c r="AH174" s="21"/>
      <c r="AI174" s="33" t="n">
        <v>8.08</v>
      </c>
      <c r="AJ174" s="23" t="n">
        <v>16.4</v>
      </c>
      <c r="AK174" s="33" t="n">
        <v>54.6</v>
      </c>
      <c r="AL174" s="33" t="n">
        <f aca="false">AK174*0.6</f>
        <v>32.76</v>
      </c>
      <c r="AM174" s="33"/>
      <c r="AN174" s="46" t="n">
        <v>0</v>
      </c>
      <c r="AO174" s="2" t="n">
        <v>5.94</v>
      </c>
      <c r="AP174" s="23" t="n">
        <v>16.6</v>
      </c>
      <c r="AQ174" s="33" t="n">
        <v>191.3</v>
      </c>
      <c r="AR174" s="35" t="n">
        <f aca="false">AQ174*0.5</f>
        <v>95.65</v>
      </c>
      <c r="AS174" s="46" t="n">
        <v>0</v>
      </c>
      <c r="AT174" s="33" t="n">
        <v>7.45</v>
      </c>
      <c r="AU174" s="23" t="n">
        <v>16.6</v>
      </c>
      <c r="AV174" s="33" t="n">
        <v>301</v>
      </c>
      <c r="AW174" s="35" t="n">
        <f aca="false">AV174*0.55</f>
        <v>165.55</v>
      </c>
      <c r="AX174" s="34"/>
      <c r="AY174" s="46" t="n">
        <v>0</v>
      </c>
    </row>
    <row r="175" customFormat="false" ht="15" hidden="false" customHeight="false" outlineLevel="0" collapsed="false">
      <c r="A175" s="16" t="s">
        <v>73</v>
      </c>
      <c r="B175" s="2" t="s">
        <v>57</v>
      </c>
      <c r="C175" s="32" t="n">
        <v>8.22</v>
      </c>
      <c r="D175" s="23" t="n">
        <v>16.3</v>
      </c>
      <c r="E175" s="33" t="n">
        <v>54.3</v>
      </c>
      <c r="F175" s="33" t="n">
        <f aca="false">E175*0.6</f>
        <v>32.58</v>
      </c>
      <c r="G175" s="33" t="n">
        <v>0.89</v>
      </c>
      <c r="H175" s="33" t="n">
        <v>8.22</v>
      </c>
      <c r="I175" s="23" t="n">
        <v>16.3</v>
      </c>
      <c r="J175" s="49"/>
      <c r="K175" s="49"/>
      <c r="L175" s="33" t="n">
        <v>0.85</v>
      </c>
      <c r="M175" s="33" t="n">
        <v>8.22</v>
      </c>
      <c r="N175" s="23" t="n">
        <v>16.3</v>
      </c>
      <c r="O175" s="49"/>
      <c r="P175" s="49"/>
      <c r="Q175" s="33" t="n">
        <v>1.02</v>
      </c>
      <c r="R175" s="33" t="n">
        <v>8.17</v>
      </c>
      <c r="S175" s="23" t="n">
        <v>16.4</v>
      </c>
      <c r="T175" s="49"/>
      <c r="U175" s="49"/>
      <c r="V175" s="46" t="n">
        <v>0</v>
      </c>
      <c r="W175" s="33" t="n">
        <v>8.17</v>
      </c>
      <c r="X175" s="23" t="n">
        <v>16.4</v>
      </c>
      <c r="Y175" s="49"/>
      <c r="Z175" s="49"/>
      <c r="AA175" s="46" t="n">
        <v>0</v>
      </c>
      <c r="AB175" s="33" t="n">
        <v>8.03</v>
      </c>
      <c r="AC175" s="23" t="n">
        <v>16</v>
      </c>
      <c r="AD175" s="33" t="n">
        <v>54.3</v>
      </c>
      <c r="AE175" s="33" t="n">
        <f aca="false">AD175*0.6</f>
        <v>32.58</v>
      </c>
      <c r="AF175" s="33"/>
      <c r="AG175" s="46" t="n">
        <v>0</v>
      </c>
      <c r="AH175" s="21"/>
      <c r="AI175" s="33" t="n">
        <v>8.03</v>
      </c>
      <c r="AJ175" s="23" t="n">
        <v>16</v>
      </c>
      <c r="AK175" s="33" t="n">
        <v>54.3</v>
      </c>
      <c r="AL175" s="33" t="n">
        <f aca="false">AK175*0.6</f>
        <v>32.58</v>
      </c>
      <c r="AM175" s="33"/>
      <c r="AN175" s="46" t="n">
        <v>0</v>
      </c>
      <c r="AO175" s="2" t="n">
        <v>5.96</v>
      </c>
      <c r="AP175" s="23" t="n">
        <v>16.7</v>
      </c>
      <c r="AQ175" s="33" t="n">
        <v>179.9</v>
      </c>
      <c r="AR175" s="35" t="n">
        <f aca="false">AQ175*0.5</f>
        <v>89.95</v>
      </c>
      <c r="AS175" s="46" t="n">
        <v>0</v>
      </c>
      <c r="AT175" s="33" t="n">
        <v>7.32</v>
      </c>
      <c r="AU175" s="23" t="n">
        <v>15.5</v>
      </c>
      <c r="AV175" s="33" t="n">
        <v>296</v>
      </c>
      <c r="AW175" s="35" t="n">
        <f aca="false">AV175*0.55</f>
        <v>162.8</v>
      </c>
      <c r="AX175" s="34"/>
      <c r="AY175" s="46" t="n">
        <v>0</v>
      </c>
    </row>
    <row r="176" customFormat="false" ht="15" hidden="false" customHeight="false" outlineLevel="0" collapsed="false">
      <c r="A176" s="16" t="s">
        <v>74</v>
      </c>
      <c r="B176" s="2" t="s">
        <v>51</v>
      </c>
      <c r="C176" s="32" t="n">
        <v>8.23</v>
      </c>
      <c r="D176" s="23" t="n">
        <v>15.7</v>
      </c>
      <c r="E176" s="33" t="n">
        <v>54.5</v>
      </c>
      <c r="F176" s="33" t="n">
        <f aca="false">E176*0.6</f>
        <v>32.7</v>
      </c>
      <c r="G176" s="33" t="n">
        <v>1.2</v>
      </c>
      <c r="H176" s="33" t="n">
        <v>8.18</v>
      </c>
      <c r="I176" s="33" t="n">
        <v>16</v>
      </c>
      <c r="J176" s="49"/>
      <c r="K176" s="49"/>
      <c r="L176" s="33" t="n">
        <v>1.95</v>
      </c>
      <c r="M176" s="33" t="n">
        <v>8.18</v>
      </c>
      <c r="N176" s="33" t="n">
        <v>16</v>
      </c>
      <c r="O176" s="49"/>
      <c r="P176" s="49"/>
      <c r="Q176" s="33" t="n">
        <v>1.95</v>
      </c>
      <c r="R176" s="33" t="n">
        <v>8.1</v>
      </c>
      <c r="S176" s="23" t="n">
        <v>16.2</v>
      </c>
      <c r="T176" s="49"/>
      <c r="U176" s="49"/>
      <c r="V176" s="46" t="n">
        <v>0</v>
      </c>
      <c r="W176" s="33" t="n">
        <v>8.1</v>
      </c>
      <c r="X176" s="23" t="n">
        <v>16.2</v>
      </c>
      <c r="Y176" s="49"/>
      <c r="Z176" s="49"/>
      <c r="AA176" s="46" t="n">
        <v>0</v>
      </c>
      <c r="AB176" s="33" t="n">
        <v>8.07</v>
      </c>
      <c r="AC176" s="23" t="n">
        <v>16</v>
      </c>
      <c r="AD176" s="33" t="n">
        <v>54.2</v>
      </c>
      <c r="AE176" s="33" t="n">
        <f aca="false">AD176*0.6</f>
        <v>32.52</v>
      </c>
      <c r="AF176" s="33"/>
      <c r="AG176" s="46" t="n">
        <v>0</v>
      </c>
      <c r="AH176" s="33"/>
      <c r="AI176" s="33" t="n">
        <v>8.07</v>
      </c>
      <c r="AJ176" s="23" t="n">
        <v>16</v>
      </c>
      <c r="AK176" s="33" t="n">
        <v>54.2</v>
      </c>
      <c r="AL176" s="33" t="n">
        <f aca="false">AK176*0.6</f>
        <v>32.52</v>
      </c>
      <c r="AM176" s="33"/>
      <c r="AN176" s="46" t="n">
        <v>0</v>
      </c>
      <c r="AO176" s="2" t="n">
        <v>6</v>
      </c>
      <c r="AP176" s="23" t="n">
        <v>16.1</v>
      </c>
      <c r="AQ176" s="33" t="n">
        <v>206</v>
      </c>
      <c r="AR176" s="33" t="n">
        <f aca="false">AQ176*0.55</f>
        <v>113.3</v>
      </c>
      <c r="AS176" s="46" t="n">
        <v>0</v>
      </c>
      <c r="AT176" s="33" t="n">
        <v>7.41</v>
      </c>
      <c r="AU176" s="23" t="n">
        <v>17</v>
      </c>
      <c r="AV176" s="33" t="n">
        <v>286</v>
      </c>
      <c r="AW176" s="33" t="n">
        <f aca="false">AV176*0.55</f>
        <v>157.3</v>
      </c>
      <c r="AX176" s="34" t="n">
        <v>1</v>
      </c>
      <c r="AY176" s="46" t="n">
        <v>0</v>
      </c>
    </row>
    <row r="177" customFormat="false" ht="15" hidden="false" customHeight="false" outlineLevel="0" collapsed="false">
      <c r="A177" s="16" t="s">
        <v>74</v>
      </c>
      <c r="B177" s="2" t="s">
        <v>52</v>
      </c>
      <c r="C177" s="32" t="n">
        <v>8.2</v>
      </c>
      <c r="D177" s="23" t="n">
        <v>15</v>
      </c>
      <c r="E177" s="33" t="n">
        <v>54.3</v>
      </c>
      <c r="F177" s="33" t="n">
        <f aca="false">E177*0.6</f>
        <v>32.58</v>
      </c>
      <c r="G177" s="33" t="n">
        <v>2.32</v>
      </c>
      <c r="H177" s="33" t="n">
        <v>8.12</v>
      </c>
      <c r="I177" s="23" t="n">
        <v>15.3</v>
      </c>
      <c r="J177" s="50"/>
      <c r="K177" s="49"/>
      <c r="L177" s="33" t="n">
        <v>2</v>
      </c>
      <c r="M177" s="33" t="n">
        <v>8.12</v>
      </c>
      <c r="N177" s="23" t="n">
        <v>15.3</v>
      </c>
      <c r="O177" s="49"/>
      <c r="P177" s="49"/>
      <c r="Q177" s="33" t="n">
        <v>2.3</v>
      </c>
      <c r="R177" s="33" t="n">
        <v>8.1</v>
      </c>
      <c r="S177" s="23" t="n">
        <v>15.5</v>
      </c>
      <c r="T177" s="49"/>
      <c r="U177" s="49"/>
      <c r="V177" s="46" t="n">
        <v>0</v>
      </c>
      <c r="W177" s="33" t="n">
        <v>8.1</v>
      </c>
      <c r="X177" s="23" t="n">
        <v>15.5</v>
      </c>
      <c r="Y177" s="49"/>
      <c r="Z177" s="49"/>
      <c r="AA177" s="46" t="n">
        <v>0</v>
      </c>
      <c r="AB177" s="33" t="n">
        <v>8.08</v>
      </c>
      <c r="AC177" s="23" t="n">
        <v>15.5</v>
      </c>
      <c r="AD177" s="33" t="n">
        <v>54.3</v>
      </c>
      <c r="AE177" s="33" t="n">
        <f aca="false">AD177*0.6</f>
        <v>32.58</v>
      </c>
      <c r="AF177" s="33"/>
      <c r="AG177" s="46" t="n">
        <v>0</v>
      </c>
      <c r="AH177" s="21"/>
      <c r="AI177" s="33" t="n">
        <v>8.08</v>
      </c>
      <c r="AJ177" s="23" t="n">
        <v>15.5</v>
      </c>
      <c r="AK177" s="33" t="n">
        <v>54.3</v>
      </c>
      <c r="AL177" s="33" t="n">
        <f aca="false">AK177*0.6</f>
        <v>32.58</v>
      </c>
      <c r="AM177" s="33"/>
      <c r="AN177" s="46" t="n">
        <v>0</v>
      </c>
      <c r="AO177" s="2" t="n">
        <v>6.07</v>
      </c>
      <c r="AP177" s="23" t="n">
        <v>16.3</v>
      </c>
      <c r="AQ177" s="33" t="n">
        <v>194</v>
      </c>
      <c r="AR177" s="35" t="n">
        <f aca="false">AQ177*0.5</f>
        <v>97</v>
      </c>
      <c r="AS177" s="46" t="n">
        <v>0</v>
      </c>
      <c r="AT177" s="33" t="n">
        <v>7.49</v>
      </c>
      <c r="AU177" s="23" t="n">
        <v>15.2</v>
      </c>
      <c r="AV177" s="33" t="n">
        <v>284</v>
      </c>
      <c r="AW177" s="35" t="n">
        <f aca="false">AV177*0.55</f>
        <v>156.2</v>
      </c>
      <c r="AX177" s="34"/>
      <c r="AY177" s="46" t="n">
        <v>0</v>
      </c>
    </row>
    <row r="178" customFormat="false" ht="15" hidden="false" customHeight="false" outlineLevel="0" collapsed="false">
      <c r="A178" s="16" t="s">
        <v>74</v>
      </c>
      <c r="B178" s="2" t="s">
        <v>57</v>
      </c>
      <c r="C178" s="47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</row>
    <row r="179" customFormat="false" ht="15" hidden="false" customHeight="false" outlineLevel="0" collapsed="false">
      <c r="A179" s="16" t="n">
        <v>45294</v>
      </c>
      <c r="B179" s="2" t="s">
        <v>51</v>
      </c>
      <c r="C179" s="29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</row>
    <row r="180" customFormat="false" ht="15" hidden="false" customHeight="false" outlineLevel="0" collapsed="false">
      <c r="A180" s="16" t="n">
        <v>45294</v>
      </c>
      <c r="B180" s="2" t="s">
        <v>52</v>
      </c>
      <c r="C180" s="29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</row>
    <row r="181" customFormat="false" ht="15" hidden="false" customHeight="false" outlineLevel="0" collapsed="false">
      <c r="A181" s="16" t="n">
        <v>45294</v>
      </c>
      <c r="B181" s="2" t="s">
        <v>57</v>
      </c>
      <c r="C181" s="29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</row>
    <row r="182" customFormat="false" ht="15" hidden="false" customHeight="false" outlineLevel="0" collapsed="false">
      <c r="A182" s="16" t="n">
        <v>45325</v>
      </c>
      <c r="B182" s="2" t="s">
        <v>51</v>
      </c>
      <c r="C182" s="32" t="n">
        <v>8.03</v>
      </c>
      <c r="D182" s="23" t="n">
        <v>15.2</v>
      </c>
      <c r="E182" s="33" t="n">
        <v>54.4</v>
      </c>
      <c r="F182" s="33" t="n">
        <f aca="false">E182*0.6</f>
        <v>32.64</v>
      </c>
      <c r="G182" s="33" t="n">
        <v>1.79</v>
      </c>
      <c r="H182" s="33" t="n">
        <v>8</v>
      </c>
      <c r="I182" s="23" t="n">
        <v>16</v>
      </c>
      <c r="J182" s="49"/>
      <c r="K182" s="49"/>
      <c r="L182" s="33" t="n">
        <v>2.25</v>
      </c>
      <c r="M182" s="33" t="n">
        <v>8</v>
      </c>
      <c r="N182" s="23" t="n">
        <v>16</v>
      </c>
      <c r="O182" s="49"/>
      <c r="P182" s="49"/>
      <c r="Q182" s="33" t="n">
        <v>2.2</v>
      </c>
      <c r="R182" s="33" t="n">
        <v>7.99</v>
      </c>
      <c r="S182" s="23" t="n">
        <v>16.3</v>
      </c>
      <c r="T182" s="49"/>
      <c r="U182" s="49"/>
      <c r="V182" s="33" t="n">
        <v>0</v>
      </c>
      <c r="W182" s="33" t="n">
        <v>7.99</v>
      </c>
      <c r="X182" s="23" t="n">
        <v>16.3</v>
      </c>
      <c r="Y182" s="49"/>
      <c r="Z182" s="49"/>
      <c r="AA182" s="33" t="n">
        <v>0</v>
      </c>
      <c r="AB182" s="33" t="n">
        <v>7.85</v>
      </c>
      <c r="AC182" s="23" t="n">
        <v>16.4</v>
      </c>
      <c r="AD182" s="33" t="n">
        <v>54.3</v>
      </c>
      <c r="AE182" s="33" t="n">
        <f aca="false">0.6*AD182</f>
        <v>32.58</v>
      </c>
      <c r="AF182" s="33"/>
      <c r="AG182" s="33" t="n">
        <v>0</v>
      </c>
      <c r="AH182" s="33"/>
      <c r="AI182" s="33" t="n">
        <v>7.85</v>
      </c>
      <c r="AJ182" s="23" t="n">
        <v>16.4</v>
      </c>
      <c r="AK182" s="33" t="n">
        <v>54.3</v>
      </c>
      <c r="AL182" s="33" t="n">
        <f aca="false">0.6*AK182</f>
        <v>32.58</v>
      </c>
      <c r="AM182" s="33"/>
      <c r="AN182" s="33" t="n">
        <v>0</v>
      </c>
      <c r="AO182" s="2" t="n">
        <v>6.06</v>
      </c>
      <c r="AP182" s="23" t="n">
        <v>15.6</v>
      </c>
      <c r="AQ182" s="33" t="n">
        <v>185.6</v>
      </c>
      <c r="AR182" s="33" t="n">
        <f aca="false">AQ182*0.55</f>
        <v>102.08</v>
      </c>
      <c r="AS182" s="33" t="n">
        <v>0</v>
      </c>
      <c r="AT182" s="33" t="n">
        <v>7.2</v>
      </c>
      <c r="AU182" s="23" t="n">
        <v>16.8</v>
      </c>
      <c r="AV182" s="33" t="n">
        <v>310</v>
      </c>
      <c r="AW182" s="23"/>
      <c r="AX182" s="34" t="n">
        <v>1</v>
      </c>
      <c r="AY182" s="33" t="n">
        <v>0</v>
      </c>
    </row>
    <row r="183" customFormat="false" ht="15" hidden="false" customHeight="false" outlineLevel="0" collapsed="false">
      <c r="A183" s="16" t="n">
        <v>45325</v>
      </c>
      <c r="B183" s="2" t="s">
        <v>52</v>
      </c>
      <c r="C183" s="29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</row>
    <row r="184" customFormat="false" ht="15" hidden="false" customHeight="false" outlineLevel="0" collapsed="false">
      <c r="A184" s="16" t="n">
        <v>45325</v>
      </c>
      <c r="B184" s="2" t="s">
        <v>57</v>
      </c>
      <c r="C184" s="32" t="n">
        <v>8.1</v>
      </c>
      <c r="D184" s="23" t="n">
        <v>16</v>
      </c>
      <c r="E184" s="33" t="n">
        <v>54.4</v>
      </c>
      <c r="F184" s="33" t="n">
        <f aca="false">E184*0.6</f>
        <v>32.64</v>
      </c>
      <c r="G184" s="33" t="n">
        <v>1.25</v>
      </c>
      <c r="H184" s="33" t="n">
        <v>8.08</v>
      </c>
      <c r="I184" s="23" t="n">
        <v>16.3</v>
      </c>
      <c r="J184" s="49"/>
      <c r="K184" s="49"/>
      <c r="L184" s="33" t="n">
        <v>3.3</v>
      </c>
      <c r="M184" s="33" t="n">
        <v>8.08</v>
      </c>
      <c r="N184" s="23" t="n">
        <v>16.3</v>
      </c>
      <c r="O184" s="49"/>
      <c r="P184" s="49"/>
      <c r="Q184" s="33" t="n">
        <v>4.67</v>
      </c>
      <c r="R184" s="33" t="n">
        <v>8.05</v>
      </c>
      <c r="S184" s="23" t="n">
        <v>16.2</v>
      </c>
      <c r="T184" s="49"/>
      <c r="U184" s="49"/>
      <c r="V184" s="33" t="n">
        <v>0</v>
      </c>
      <c r="W184" s="33" t="n">
        <v>8.05</v>
      </c>
      <c r="X184" s="23" t="n">
        <v>16.2</v>
      </c>
      <c r="Y184" s="49"/>
      <c r="Z184" s="49"/>
      <c r="AA184" s="33" t="n">
        <v>0</v>
      </c>
      <c r="AB184" s="33" t="n">
        <v>7.99</v>
      </c>
      <c r="AC184" s="23" t="n">
        <v>17</v>
      </c>
      <c r="AD184" s="33" t="n">
        <v>54.3</v>
      </c>
      <c r="AE184" s="33" t="n">
        <f aca="false">0.6*AD184</f>
        <v>32.58</v>
      </c>
      <c r="AF184" s="33"/>
      <c r="AG184" s="33" t="n">
        <v>0</v>
      </c>
      <c r="AH184" s="45"/>
      <c r="AI184" s="33" t="n">
        <v>7.99</v>
      </c>
      <c r="AJ184" s="23" t="n">
        <v>16.4</v>
      </c>
      <c r="AK184" s="33" t="n">
        <v>54.3</v>
      </c>
      <c r="AL184" s="33" t="n">
        <f aca="false">0.6*AK184</f>
        <v>32.58</v>
      </c>
      <c r="AM184" s="33"/>
      <c r="AN184" s="33" t="n">
        <v>0</v>
      </c>
      <c r="AO184" s="2" t="n">
        <v>6.12</v>
      </c>
      <c r="AP184" s="23" t="n">
        <v>17</v>
      </c>
      <c r="AQ184" s="33" t="n">
        <v>198</v>
      </c>
      <c r="AR184" s="33" t="n">
        <f aca="false">AQ184*0.55</f>
        <v>108.9</v>
      </c>
      <c r="AS184" s="33" t="n">
        <v>0</v>
      </c>
      <c r="AT184" s="33" t="n">
        <v>7.8</v>
      </c>
      <c r="AU184" s="23" t="n">
        <v>17.6</v>
      </c>
      <c r="AV184" s="33" t="n">
        <v>356</v>
      </c>
      <c r="AW184" s="33" t="n">
        <f aca="false">AV184*0.55</f>
        <v>195.8</v>
      </c>
      <c r="AX184" s="34" t="n">
        <v>0.8</v>
      </c>
      <c r="AY184" s="33" t="n">
        <v>0</v>
      </c>
    </row>
    <row r="185" customFormat="false" ht="15" hidden="false" customHeight="false" outlineLevel="0" collapsed="false">
      <c r="A185" s="16" t="n">
        <v>45354</v>
      </c>
      <c r="B185" s="2" t="s">
        <v>51</v>
      </c>
      <c r="C185" s="32" t="n">
        <v>8.11</v>
      </c>
      <c r="D185" s="23" t="n">
        <v>15.4</v>
      </c>
      <c r="E185" s="33" t="n">
        <v>54.2</v>
      </c>
      <c r="F185" s="33" t="n">
        <f aca="false">E185*0.6</f>
        <v>32.52</v>
      </c>
      <c r="G185" s="33" t="n">
        <v>1.52</v>
      </c>
      <c r="H185" s="33" t="n">
        <v>8.1</v>
      </c>
      <c r="I185" s="23" t="n">
        <v>16</v>
      </c>
      <c r="J185" s="49"/>
      <c r="K185" s="49"/>
      <c r="L185" s="33" t="n">
        <v>2.86</v>
      </c>
      <c r="M185" s="33" t="n">
        <v>8.1</v>
      </c>
      <c r="N185" s="23" t="n">
        <v>16</v>
      </c>
      <c r="O185" s="49"/>
      <c r="P185" s="49"/>
      <c r="Q185" s="33" t="n">
        <v>2.23</v>
      </c>
      <c r="R185" s="33" t="n">
        <v>8.08</v>
      </c>
      <c r="S185" s="23" t="n">
        <v>16.3</v>
      </c>
      <c r="T185" s="49"/>
      <c r="U185" s="49"/>
      <c r="V185" s="33" t="n">
        <v>0</v>
      </c>
      <c r="W185" s="33" t="n">
        <v>8.08</v>
      </c>
      <c r="X185" s="23" t="n">
        <v>16.3</v>
      </c>
      <c r="Y185" s="49"/>
      <c r="Z185" s="49"/>
      <c r="AA185" s="33" t="n">
        <v>0</v>
      </c>
      <c r="AB185" s="33" t="n">
        <v>8.02</v>
      </c>
      <c r="AC185" s="23" t="n">
        <v>17</v>
      </c>
      <c r="AD185" s="33" t="n">
        <v>54.1</v>
      </c>
      <c r="AE185" s="33" t="n">
        <f aca="false">0.6*AD185</f>
        <v>32.46</v>
      </c>
      <c r="AF185" s="33"/>
      <c r="AG185" s="33" t="n">
        <v>0</v>
      </c>
      <c r="AH185" s="33"/>
      <c r="AI185" s="33" t="n">
        <v>8.02</v>
      </c>
      <c r="AJ185" s="23" t="n">
        <v>17</v>
      </c>
      <c r="AK185" s="33" t="n">
        <v>54.1</v>
      </c>
      <c r="AL185" s="33" t="n">
        <f aca="false">0.6*AK185</f>
        <v>32.46</v>
      </c>
      <c r="AM185" s="33"/>
      <c r="AN185" s="33" t="n">
        <v>0</v>
      </c>
      <c r="AO185" s="2" t="n">
        <v>6.26</v>
      </c>
      <c r="AP185" s="23" t="n">
        <v>15.9</v>
      </c>
      <c r="AQ185" s="33" t="n">
        <v>186.6</v>
      </c>
      <c r="AR185" s="33" t="n">
        <f aca="false">AQ185*0.55</f>
        <v>102.63</v>
      </c>
      <c r="AS185" s="33" t="n">
        <v>0</v>
      </c>
      <c r="AT185" s="33" t="n">
        <v>7.24</v>
      </c>
      <c r="AU185" s="23" t="n">
        <v>16.6</v>
      </c>
      <c r="AV185" s="33" t="n">
        <v>279</v>
      </c>
      <c r="AW185" s="23"/>
      <c r="AX185" s="34"/>
      <c r="AY185" s="33" t="n">
        <v>0</v>
      </c>
    </row>
    <row r="186" customFormat="false" ht="15" hidden="false" customHeight="false" outlineLevel="0" collapsed="false">
      <c r="A186" s="16" t="n">
        <v>45354</v>
      </c>
      <c r="B186" s="2" t="s">
        <v>52</v>
      </c>
      <c r="C186" s="32" t="n">
        <v>8.11</v>
      </c>
      <c r="D186" s="23" t="n">
        <v>15.6</v>
      </c>
      <c r="E186" s="33" t="n">
        <v>54.5</v>
      </c>
      <c r="F186" s="33" t="n">
        <f aca="false">E186*0.6</f>
        <v>32.7</v>
      </c>
      <c r="G186" s="33" t="n">
        <v>0.87</v>
      </c>
      <c r="H186" s="33" t="n">
        <v>8.05</v>
      </c>
      <c r="I186" s="23" t="n">
        <v>15.5</v>
      </c>
      <c r="J186" s="49"/>
      <c r="K186" s="49"/>
      <c r="L186" s="33" t="n">
        <v>2.39</v>
      </c>
      <c r="M186" s="33" t="n">
        <v>8.05</v>
      </c>
      <c r="N186" s="23" t="n">
        <v>15.3</v>
      </c>
      <c r="O186" s="49"/>
      <c r="P186" s="49"/>
      <c r="Q186" s="33" t="n">
        <v>2.44</v>
      </c>
      <c r="R186" s="33" t="n">
        <v>8.04</v>
      </c>
      <c r="S186" s="23" t="n">
        <v>15.3</v>
      </c>
      <c r="T186" s="49"/>
      <c r="U186" s="49"/>
      <c r="V186" s="33" t="n">
        <v>0</v>
      </c>
      <c r="W186" s="33"/>
      <c r="X186" s="23"/>
      <c r="Y186" s="49"/>
      <c r="Z186" s="49"/>
      <c r="AA186" s="33"/>
      <c r="AB186" s="33" t="n">
        <v>8.02</v>
      </c>
      <c r="AC186" s="23" t="n">
        <v>15.6</v>
      </c>
      <c r="AD186" s="33" t="n">
        <v>54.5</v>
      </c>
      <c r="AE186" s="33" t="n">
        <f aca="false">0.6*AD186</f>
        <v>32.7</v>
      </c>
      <c r="AF186" s="33"/>
      <c r="AG186" s="33" t="n">
        <v>0</v>
      </c>
      <c r="AH186" s="33" t="s">
        <v>75</v>
      </c>
      <c r="AI186" s="33" t="n">
        <v>8.02</v>
      </c>
      <c r="AJ186" s="23" t="n">
        <v>15.6</v>
      </c>
      <c r="AK186" s="33" t="n">
        <v>54.5</v>
      </c>
      <c r="AL186" s="33" t="n">
        <f aca="false">0.6*AK186</f>
        <v>32.7</v>
      </c>
      <c r="AM186" s="33"/>
      <c r="AN186" s="33" t="n">
        <v>0</v>
      </c>
      <c r="AO186" s="2" t="n">
        <v>6.2</v>
      </c>
      <c r="AP186" s="23" t="n">
        <v>15.5</v>
      </c>
      <c r="AQ186" s="33" t="n">
        <v>182.5</v>
      </c>
      <c r="AR186" s="33" t="n">
        <f aca="false">AQ186*0.5</f>
        <v>91.25</v>
      </c>
      <c r="AS186" s="33" t="n">
        <v>0</v>
      </c>
      <c r="AT186" s="33" t="n">
        <v>7.3</v>
      </c>
      <c r="AU186" s="23" t="n">
        <v>14.1</v>
      </c>
      <c r="AV186" s="33" t="n">
        <v>279</v>
      </c>
      <c r="AW186" s="33" t="n">
        <f aca="false">AV186*0.55</f>
        <v>153.45</v>
      </c>
      <c r="AX186" s="34" t="n">
        <v>0.3</v>
      </c>
      <c r="AY186" s="33" t="n">
        <v>0</v>
      </c>
    </row>
    <row r="187" customFormat="false" ht="15" hidden="false" customHeight="false" outlineLevel="0" collapsed="false">
      <c r="A187" s="16" t="n">
        <v>45354</v>
      </c>
      <c r="B187" s="2" t="s">
        <v>57</v>
      </c>
      <c r="C187" s="32" t="n">
        <v>8.1</v>
      </c>
      <c r="D187" s="23" t="n">
        <v>16</v>
      </c>
      <c r="E187" s="33" t="n">
        <v>54.2</v>
      </c>
      <c r="F187" s="33" t="n">
        <f aca="false">E187*0.6</f>
        <v>32.52</v>
      </c>
      <c r="G187" s="33" t="n">
        <v>1.58</v>
      </c>
      <c r="H187" s="33" t="n">
        <v>8.09</v>
      </c>
      <c r="I187" s="23" t="n">
        <v>16.1</v>
      </c>
      <c r="J187" s="49"/>
      <c r="K187" s="49"/>
      <c r="L187" s="33" t="n">
        <v>2.08</v>
      </c>
      <c r="M187" s="33" t="n">
        <v>8.09</v>
      </c>
      <c r="N187" s="23" t="n">
        <v>16.1</v>
      </c>
      <c r="O187" s="49"/>
      <c r="P187" s="49"/>
      <c r="Q187" s="33" t="n">
        <v>2</v>
      </c>
      <c r="R187" s="33" t="n">
        <v>8.06</v>
      </c>
      <c r="S187" s="23" t="n">
        <v>16.1</v>
      </c>
      <c r="T187" s="49"/>
      <c r="U187" s="49"/>
      <c r="V187" s="33" t="n">
        <v>0</v>
      </c>
      <c r="W187" s="33" t="n">
        <v>8.06</v>
      </c>
      <c r="X187" s="23" t="n">
        <v>16.1</v>
      </c>
      <c r="Y187" s="49"/>
      <c r="Z187" s="49"/>
      <c r="AA187" s="33" t="n">
        <v>0</v>
      </c>
      <c r="AB187" s="33" t="n">
        <v>7.9</v>
      </c>
      <c r="AC187" s="23" t="n">
        <v>16.7</v>
      </c>
      <c r="AD187" s="33" t="n">
        <v>54.3</v>
      </c>
      <c r="AE187" s="33" t="n">
        <f aca="false">0.6*AD187</f>
        <v>32.58</v>
      </c>
      <c r="AF187" s="33"/>
      <c r="AG187" s="33" t="n">
        <v>0</v>
      </c>
      <c r="AH187" s="45"/>
      <c r="AI187" s="33" t="n">
        <v>7.9</v>
      </c>
      <c r="AJ187" s="23" t="n">
        <v>16.7</v>
      </c>
      <c r="AK187" s="33" t="n">
        <v>54.3</v>
      </c>
      <c r="AL187" s="33" t="n">
        <f aca="false">0.6*AK187</f>
        <v>32.58</v>
      </c>
      <c r="AM187" s="33"/>
      <c r="AN187" s="33" t="n">
        <v>0</v>
      </c>
      <c r="AO187" s="2" t="n">
        <v>6.33</v>
      </c>
      <c r="AP187" s="23" t="n">
        <v>16.6</v>
      </c>
      <c r="AQ187" s="33" t="n">
        <v>194.7</v>
      </c>
      <c r="AR187" s="33" t="n">
        <f aca="false">AQ187*0.55</f>
        <v>107.085</v>
      </c>
      <c r="AS187" s="33" t="n">
        <v>0</v>
      </c>
      <c r="AT187" s="33" t="n">
        <v>7.11</v>
      </c>
      <c r="AU187" s="23" t="n">
        <v>16.7</v>
      </c>
      <c r="AV187" s="33" t="n">
        <v>279</v>
      </c>
      <c r="AW187" s="33" t="n">
        <f aca="false">AV187*0.55</f>
        <v>153.45</v>
      </c>
      <c r="AX187" s="34" t="n">
        <v>0.5</v>
      </c>
      <c r="AY187" s="33" t="n">
        <v>0</v>
      </c>
    </row>
    <row r="188" customFormat="false" ht="15" hidden="false" customHeight="false" outlineLevel="0" collapsed="false">
      <c r="A188" s="16" t="n">
        <v>45385</v>
      </c>
      <c r="B188" s="2" t="s">
        <v>51</v>
      </c>
      <c r="C188" s="32" t="n">
        <v>8.15</v>
      </c>
      <c r="D188" s="23" t="n">
        <v>15.6</v>
      </c>
      <c r="E188" s="33" t="n">
        <v>54.9</v>
      </c>
      <c r="F188" s="33" t="n">
        <f aca="false">E188*0.6</f>
        <v>32.94</v>
      </c>
      <c r="G188" s="33" t="n">
        <v>1.69</v>
      </c>
      <c r="H188" s="33" t="n">
        <v>8.12</v>
      </c>
      <c r="I188" s="23" t="n">
        <v>16</v>
      </c>
      <c r="J188" s="49"/>
      <c r="K188" s="49"/>
      <c r="L188" s="33" t="n">
        <v>1.89</v>
      </c>
      <c r="M188" s="33" t="n">
        <v>8.12</v>
      </c>
      <c r="N188" s="23" t="n">
        <v>16</v>
      </c>
      <c r="O188" s="49"/>
      <c r="P188" s="49"/>
      <c r="Q188" s="33" t="n">
        <v>2.02</v>
      </c>
      <c r="R188" s="33" t="n">
        <v>8.1</v>
      </c>
      <c r="S188" s="23" t="n">
        <v>16.3</v>
      </c>
      <c r="T188" s="49"/>
      <c r="U188" s="49"/>
      <c r="V188" s="33" t="n">
        <v>0</v>
      </c>
      <c r="W188" s="33" t="n">
        <v>8.1</v>
      </c>
      <c r="X188" s="23" t="n">
        <v>16.3</v>
      </c>
      <c r="Y188" s="49"/>
      <c r="Z188" s="49"/>
      <c r="AA188" s="33" t="n">
        <v>0</v>
      </c>
      <c r="AB188" s="33" t="n">
        <v>8.07</v>
      </c>
      <c r="AC188" s="23" t="n">
        <v>17</v>
      </c>
      <c r="AD188" s="33" t="n">
        <v>54.1</v>
      </c>
      <c r="AE188" s="33" t="n">
        <f aca="false">0.6*AD188</f>
        <v>32.46</v>
      </c>
      <c r="AF188" s="33"/>
      <c r="AG188" s="33" t="n">
        <v>0</v>
      </c>
      <c r="AH188" s="33"/>
      <c r="AI188" s="33" t="n">
        <v>8.07</v>
      </c>
      <c r="AJ188" s="23" t="n">
        <v>17</v>
      </c>
      <c r="AK188" s="33" t="n">
        <v>54.1</v>
      </c>
      <c r="AL188" s="33" t="n">
        <f aca="false">0.6*AK188</f>
        <v>32.46</v>
      </c>
      <c r="AM188" s="33"/>
      <c r="AN188" s="33" t="n">
        <v>0</v>
      </c>
      <c r="AO188" s="2" t="n">
        <v>6.31</v>
      </c>
      <c r="AP188" s="23" t="n">
        <v>16</v>
      </c>
      <c r="AQ188" s="33" t="n">
        <v>199</v>
      </c>
      <c r="AR188" s="33" t="n">
        <f aca="false">AQ188*0.55</f>
        <v>109.45</v>
      </c>
      <c r="AS188" s="33" t="n">
        <v>0</v>
      </c>
      <c r="AT188" s="33" t="n">
        <v>7.13</v>
      </c>
      <c r="AU188" s="23" t="n">
        <v>17</v>
      </c>
      <c r="AV188" s="33" t="n">
        <v>283</v>
      </c>
      <c r="AW188" s="23"/>
      <c r="AX188" s="34" t="n">
        <v>1</v>
      </c>
      <c r="AY188" s="33" t="n">
        <v>0</v>
      </c>
    </row>
    <row r="189" customFormat="false" ht="15" hidden="false" customHeight="false" outlineLevel="0" collapsed="false">
      <c r="A189" s="16" t="n">
        <v>45385</v>
      </c>
      <c r="B189" s="2" t="s">
        <v>52</v>
      </c>
      <c r="C189" s="32" t="n">
        <v>8.12</v>
      </c>
      <c r="D189" s="23" t="n">
        <v>16.14</v>
      </c>
      <c r="E189" s="33" t="n">
        <v>54.6</v>
      </c>
      <c r="F189" s="33" t="n">
        <f aca="false">E189*0.6</f>
        <v>32.76</v>
      </c>
      <c r="G189" s="33" t="n">
        <v>1.73</v>
      </c>
      <c r="H189" s="33" t="n">
        <v>8.07</v>
      </c>
      <c r="I189" s="23" t="n">
        <v>15.7</v>
      </c>
      <c r="J189" s="49"/>
      <c r="K189" s="49"/>
      <c r="L189" s="33" t="n">
        <v>3.01</v>
      </c>
      <c r="M189" s="33" t="n">
        <v>8.07</v>
      </c>
      <c r="N189" s="23" t="n">
        <v>15.5</v>
      </c>
      <c r="O189" s="49"/>
      <c r="P189" s="49"/>
      <c r="Q189" s="33" t="n">
        <v>2.48</v>
      </c>
      <c r="R189" s="51"/>
      <c r="S189" s="52"/>
      <c r="T189" s="49"/>
      <c r="U189" s="49"/>
      <c r="V189" s="51"/>
      <c r="W189" s="33" t="n">
        <v>8.05</v>
      </c>
      <c r="X189" s="23" t="n">
        <v>15.5</v>
      </c>
      <c r="Y189" s="49"/>
      <c r="Z189" s="49"/>
      <c r="AA189" s="33" t="n">
        <v>0</v>
      </c>
      <c r="AB189" s="33" t="n">
        <v>8.02</v>
      </c>
      <c r="AC189" s="23" t="n">
        <v>15.7</v>
      </c>
      <c r="AD189" s="33" t="n">
        <v>54.6</v>
      </c>
      <c r="AE189" s="33" t="n">
        <f aca="false">0.6*AD189</f>
        <v>32.76</v>
      </c>
      <c r="AF189" s="33"/>
      <c r="AG189" s="33" t="n">
        <v>0</v>
      </c>
      <c r="AH189" s="33" t="s">
        <v>75</v>
      </c>
      <c r="AI189" s="33" t="n">
        <v>8.02</v>
      </c>
      <c r="AJ189" s="23" t="n">
        <v>15.7</v>
      </c>
      <c r="AK189" s="33" t="n">
        <v>54.6</v>
      </c>
      <c r="AL189" s="33" t="n">
        <f aca="false">0.6*AK189</f>
        <v>32.76</v>
      </c>
      <c r="AM189" s="33"/>
      <c r="AN189" s="33" t="n">
        <v>0</v>
      </c>
      <c r="AO189" s="2" t="n">
        <v>6.15</v>
      </c>
      <c r="AP189" s="23" t="n">
        <v>16.1</v>
      </c>
      <c r="AQ189" s="33" t="n">
        <v>179.8</v>
      </c>
      <c r="AR189" s="33" t="n">
        <f aca="false">AQ189*0.5</f>
        <v>89.9</v>
      </c>
      <c r="AS189" s="33" t="n">
        <v>0</v>
      </c>
      <c r="AT189" s="33" t="n">
        <v>7.18</v>
      </c>
      <c r="AU189" s="23" t="n">
        <v>16.6</v>
      </c>
      <c r="AV189" s="33" t="n">
        <v>281</v>
      </c>
      <c r="AW189" s="33" t="n">
        <f aca="false">AV189*0.55</f>
        <v>154.55</v>
      </c>
      <c r="AX189" s="34" t="n">
        <v>1.2</v>
      </c>
      <c r="AY189" s="33" t="n">
        <v>0</v>
      </c>
    </row>
    <row r="190" customFormat="false" ht="15" hidden="false" customHeight="false" outlineLevel="0" collapsed="false">
      <c r="A190" s="16" t="n">
        <v>45385</v>
      </c>
      <c r="B190" s="2" t="s">
        <v>57</v>
      </c>
      <c r="C190" s="32" t="n">
        <v>8.12</v>
      </c>
      <c r="D190" s="23" t="n">
        <v>17</v>
      </c>
      <c r="E190" s="33" t="n">
        <v>55.1</v>
      </c>
      <c r="F190" s="33" t="n">
        <f aca="false">E190*0.6</f>
        <v>33.06</v>
      </c>
      <c r="G190" s="33" t="n">
        <v>1.8</v>
      </c>
      <c r="H190" s="33" t="n">
        <v>8.1</v>
      </c>
      <c r="I190" s="23" t="n">
        <v>17.2</v>
      </c>
      <c r="J190" s="49"/>
      <c r="K190" s="49"/>
      <c r="L190" s="33" t="n">
        <v>3.05</v>
      </c>
      <c r="M190" s="33" t="n">
        <v>8.1</v>
      </c>
      <c r="N190" s="23" t="n">
        <v>17.2</v>
      </c>
      <c r="O190" s="49"/>
      <c r="P190" s="49"/>
      <c r="Q190" s="33" t="n">
        <v>2.69</v>
      </c>
      <c r="R190" s="51"/>
      <c r="S190" s="52"/>
      <c r="T190" s="49"/>
      <c r="U190" s="49"/>
      <c r="V190" s="51"/>
      <c r="W190" s="33" t="n">
        <v>8.05</v>
      </c>
      <c r="X190" s="23" t="n">
        <v>17.5</v>
      </c>
      <c r="Y190" s="49"/>
      <c r="Z190" s="49"/>
      <c r="AA190" s="33" t="n">
        <v>0</v>
      </c>
      <c r="AB190" s="33" t="n">
        <v>8.03</v>
      </c>
      <c r="AC190" s="23" t="n">
        <v>17.3</v>
      </c>
      <c r="AD190" s="33" t="n">
        <v>54.7</v>
      </c>
      <c r="AE190" s="33" t="n">
        <f aca="false">0.6*AD190</f>
        <v>32.82</v>
      </c>
      <c r="AF190" s="33"/>
      <c r="AG190" s="33" t="n">
        <v>0</v>
      </c>
      <c r="AH190" s="45"/>
      <c r="AI190" s="33" t="n">
        <v>8.03</v>
      </c>
      <c r="AJ190" s="23" t="n">
        <v>17.3</v>
      </c>
      <c r="AK190" s="33" t="n">
        <v>54.7</v>
      </c>
      <c r="AL190" s="33" t="n">
        <f aca="false">0.6*AK190</f>
        <v>32.82</v>
      </c>
      <c r="AM190" s="33"/>
      <c r="AN190" s="33" t="n">
        <v>0</v>
      </c>
      <c r="AO190" s="2" t="n">
        <v>5.71</v>
      </c>
      <c r="AP190" s="23" t="n">
        <v>17.3</v>
      </c>
      <c r="AQ190" s="33" t="n">
        <v>183.6</v>
      </c>
      <c r="AR190" s="33" t="n">
        <f aca="false">AQ190*0.55</f>
        <v>100.98</v>
      </c>
      <c r="AS190" s="33" t="n">
        <v>0</v>
      </c>
      <c r="AT190" s="33" t="n">
        <v>7.2</v>
      </c>
      <c r="AU190" s="23" t="n">
        <v>17.5</v>
      </c>
      <c r="AV190" s="33" t="n">
        <v>280</v>
      </c>
      <c r="AW190" s="33" t="n">
        <f aca="false">AV190*0.55</f>
        <v>154</v>
      </c>
      <c r="AX190" s="34"/>
      <c r="AY190" s="33" t="n">
        <v>0</v>
      </c>
    </row>
    <row r="191" customFormat="false" ht="15" hidden="false" customHeight="false" outlineLevel="0" collapsed="false">
      <c r="A191" s="16" t="n">
        <v>45415</v>
      </c>
      <c r="B191" s="2" t="s">
        <v>51</v>
      </c>
      <c r="C191" s="29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</row>
    <row r="192" customFormat="false" ht="15" hidden="false" customHeight="false" outlineLevel="0" collapsed="false">
      <c r="A192" s="16" t="n">
        <v>45415</v>
      </c>
      <c r="B192" s="2" t="s">
        <v>52</v>
      </c>
      <c r="C192" s="29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</row>
    <row r="193" customFormat="false" ht="15" hidden="false" customHeight="false" outlineLevel="0" collapsed="false">
      <c r="A193" s="16" t="n">
        <v>45415</v>
      </c>
      <c r="B193" s="2" t="s">
        <v>57</v>
      </c>
      <c r="C193" s="29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</row>
    <row r="194" customFormat="false" ht="15" hidden="false" customHeight="false" outlineLevel="0" collapsed="false">
      <c r="A194" s="16" t="n">
        <v>45446</v>
      </c>
      <c r="B194" s="2" t="s">
        <v>51</v>
      </c>
      <c r="C194" s="32" t="n">
        <v>8.08</v>
      </c>
      <c r="D194" s="23" t="n">
        <v>16.2</v>
      </c>
      <c r="E194" s="33" t="n">
        <v>54.7</v>
      </c>
      <c r="F194" s="33" t="n">
        <f aca="false">E194*0.6</f>
        <v>32.82</v>
      </c>
      <c r="G194" s="33" t="n">
        <v>1.52</v>
      </c>
      <c r="H194" s="33" t="n">
        <v>8.07</v>
      </c>
      <c r="I194" s="23" t="n">
        <v>15.7</v>
      </c>
      <c r="J194" s="49"/>
      <c r="K194" s="49"/>
      <c r="L194" s="33" t="n">
        <v>1.6</v>
      </c>
      <c r="M194" s="33" t="n">
        <v>8.07</v>
      </c>
      <c r="N194" s="23" t="n">
        <v>15.7</v>
      </c>
      <c r="O194" s="49"/>
      <c r="P194" s="49"/>
      <c r="Q194" s="33" t="n">
        <v>1.7</v>
      </c>
      <c r="R194" s="33"/>
      <c r="S194" s="23"/>
      <c r="T194" s="49"/>
      <c r="U194" s="49"/>
      <c r="V194" s="33"/>
      <c r="W194" s="33" t="n">
        <v>8.04</v>
      </c>
      <c r="X194" s="23" t="n">
        <v>15.5</v>
      </c>
      <c r="Y194" s="49"/>
      <c r="Z194" s="49"/>
      <c r="AA194" s="33" t="n">
        <v>0</v>
      </c>
      <c r="AB194" s="33" t="n">
        <v>8.02</v>
      </c>
      <c r="AC194" s="23" t="n">
        <v>15.6</v>
      </c>
      <c r="AD194" s="33" t="n">
        <v>54.6</v>
      </c>
      <c r="AE194" s="33" t="n">
        <f aca="false">0.6*AD194</f>
        <v>32.76</v>
      </c>
      <c r="AF194" s="33"/>
      <c r="AG194" s="33" t="n">
        <v>0</v>
      </c>
      <c r="AH194" s="33"/>
      <c r="AI194" s="33" t="n">
        <v>8.02</v>
      </c>
      <c r="AJ194" s="23" t="n">
        <v>15.5</v>
      </c>
      <c r="AK194" s="33" t="n">
        <v>54.6</v>
      </c>
      <c r="AL194" s="33" t="n">
        <f aca="false">0.6*AK194</f>
        <v>32.76</v>
      </c>
      <c r="AM194" s="33"/>
      <c r="AN194" s="33" t="n">
        <v>0</v>
      </c>
      <c r="AO194" s="2" t="n">
        <v>6.16</v>
      </c>
      <c r="AP194" s="23" t="n">
        <v>15.5</v>
      </c>
      <c r="AQ194" s="33" t="n">
        <v>186.7</v>
      </c>
      <c r="AR194" s="33" t="n">
        <f aca="false">AQ194*0.55</f>
        <v>102.685</v>
      </c>
      <c r="AS194" s="33" t="n">
        <v>0</v>
      </c>
      <c r="AT194" s="33" t="n">
        <v>7.11</v>
      </c>
      <c r="AU194" s="23" t="n">
        <v>16.4</v>
      </c>
      <c r="AV194" s="33" t="n">
        <v>331</v>
      </c>
      <c r="AW194" s="23"/>
      <c r="AX194" s="34" t="n">
        <v>1</v>
      </c>
      <c r="AY194" s="33" t="n">
        <v>0</v>
      </c>
    </row>
    <row r="195" customFormat="false" ht="15" hidden="false" customHeight="false" outlineLevel="0" collapsed="false">
      <c r="A195" s="16" t="n">
        <v>45446</v>
      </c>
      <c r="B195" s="2" t="s">
        <v>52</v>
      </c>
      <c r="C195" s="32" t="n">
        <v>8.16</v>
      </c>
      <c r="D195" s="23" t="n">
        <v>16.6</v>
      </c>
      <c r="E195" s="33" t="n">
        <v>54.8</v>
      </c>
      <c r="F195" s="33" t="n">
        <f aca="false">E195*0.6</f>
        <v>32.88</v>
      </c>
      <c r="G195" s="33" t="n">
        <v>0.88</v>
      </c>
      <c r="H195" s="33" t="n">
        <v>8.05</v>
      </c>
      <c r="I195" s="23" t="n">
        <v>15.8</v>
      </c>
      <c r="J195" s="49"/>
      <c r="K195" s="49"/>
      <c r="L195" s="33" t="n">
        <v>3.39</v>
      </c>
      <c r="M195" s="33" t="n">
        <v>8.05</v>
      </c>
      <c r="N195" s="23" t="n">
        <v>15.8</v>
      </c>
      <c r="O195" s="49"/>
      <c r="P195" s="49"/>
      <c r="Q195" s="33" t="n">
        <v>2.55</v>
      </c>
      <c r="R195" s="34"/>
      <c r="S195" s="19"/>
      <c r="T195" s="49"/>
      <c r="U195" s="49"/>
      <c r="V195" s="34"/>
      <c r="W195" s="33" t="n">
        <v>8.03</v>
      </c>
      <c r="X195" s="23" t="n">
        <v>15.9</v>
      </c>
      <c r="Y195" s="49"/>
      <c r="Z195" s="49"/>
      <c r="AA195" s="33" t="n">
        <v>0</v>
      </c>
      <c r="AB195" s="33" t="n">
        <v>8</v>
      </c>
      <c r="AC195" s="23" t="n">
        <v>16</v>
      </c>
      <c r="AD195" s="33" t="n">
        <v>54.1</v>
      </c>
      <c r="AE195" s="33" t="n">
        <f aca="false">0.6*AD195</f>
        <v>32.46</v>
      </c>
      <c r="AF195" s="33"/>
      <c r="AG195" s="33" t="n">
        <v>0</v>
      </c>
      <c r="AH195" s="33" t="s">
        <v>75</v>
      </c>
      <c r="AI195" s="33" t="n">
        <v>8</v>
      </c>
      <c r="AJ195" s="23" t="n">
        <v>16</v>
      </c>
      <c r="AK195" s="33" t="n">
        <v>54.7</v>
      </c>
      <c r="AL195" s="33" t="n">
        <f aca="false">0.6*AK195</f>
        <v>32.82</v>
      </c>
      <c r="AM195" s="33"/>
      <c r="AN195" s="33" t="n">
        <v>0</v>
      </c>
      <c r="AO195" s="2" t="n">
        <v>6.2</v>
      </c>
      <c r="AP195" s="23" t="n">
        <v>16.1</v>
      </c>
      <c r="AQ195" s="33" t="n">
        <v>199.6</v>
      </c>
      <c r="AR195" s="33" t="n">
        <f aca="false">AQ195*0.5</f>
        <v>99.8</v>
      </c>
      <c r="AS195" s="33" t="n">
        <v>0</v>
      </c>
      <c r="AT195" s="33" t="n">
        <v>7.15</v>
      </c>
      <c r="AU195" s="23" t="n">
        <v>16.5</v>
      </c>
      <c r="AV195" s="33" t="n">
        <v>287</v>
      </c>
      <c r="AW195" s="33" t="n">
        <f aca="false">AV195*0.55</f>
        <v>157.85</v>
      </c>
      <c r="AX195" s="34"/>
      <c r="AY195" s="33" t="n">
        <v>0</v>
      </c>
    </row>
    <row r="196" customFormat="false" ht="15" hidden="false" customHeight="false" outlineLevel="0" collapsed="false">
      <c r="A196" s="16" t="n">
        <v>45446</v>
      </c>
      <c r="B196" s="2" t="s">
        <v>57</v>
      </c>
      <c r="C196" s="32" t="n">
        <v>8.12</v>
      </c>
      <c r="D196" s="23" t="n">
        <v>17</v>
      </c>
      <c r="E196" s="33" t="n">
        <v>54.6</v>
      </c>
      <c r="F196" s="33" t="n">
        <f aca="false">E196*0.6</f>
        <v>32.76</v>
      </c>
      <c r="G196" s="33" t="n">
        <v>1.22</v>
      </c>
      <c r="H196" s="33" t="n">
        <v>8.1</v>
      </c>
      <c r="I196" s="23" t="n">
        <v>17</v>
      </c>
      <c r="J196" s="49"/>
      <c r="K196" s="49"/>
      <c r="L196" s="33" t="n">
        <v>3.15</v>
      </c>
      <c r="M196" s="33" t="n">
        <v>8.1</v>
      </c>
      <c r="N196" s="23" t="n">
        <v>17</v>
      </c>
      <c r="O196" s="49"/>
      <c r="P196" s="49"/>
      <c r="Q196" s="33" t="n">
        <v>1.08</v>
      </c>
      <c r="R196" s="34" t="n">
        <v>8.05</v>
      </c>
      <c r="S196" s="19" t="n">
        <v>17.3</v>
      </c>
      <c r="T196" s="49"/>
      <c r="U196" s="49"/>
      <c r="V196" s="34" t="n">
        <v>0</v>
      </c>
      <c r="W196" s="33" t="n">
        <v>8.05</v>
      </c>
      <c r="X196" s="23" t="n">
        <v>17.3</v>
      </c>
      <c r="Y196" s="49"/>
      <c r="Z196" s="49"/>
      <c r="AA196" s="33" t="n">
        <v>0</v>
      </c>
      <c r="AB196" s="33" t="n">
        <v>8.02</v>
      </c>
      <c r="AC196" s="23" t="n">
        <v>17.4</v>
      </c>
      <c r="AD196" s="33" t="n">
        <v>54.3</v>
      </c>
      <c r="AE196" s="33" t="n">
        <f aca="false">0.6*AD196</f>
        <v>32.58</v>
      </c>
      <c r="AF196" s="33"/>
      <c r="AG196" s="33" t="n">
        <v>0</v>
      </c>
      <c r="AH196" s="45"/>
      <c r="AI196" s="33" t="n">
        <v>8.02</v>
      </c>
      <c r="AJ196" s="23" t="n">
        <v>17.4</v>
      </c>
      <c r="AK196" s="33" t="n">
        <v>54.3</v>
      </c>
      <c r="AL196" s="33" t="n">
        <f aca="false">0.6*AK196</f>
        <v>32.58</v>
      </c>
      <c r="AM196" s="33"/>
      <c r="AN196" s="33" t="n">
        <v>0</v>
      </c>
      <c r="AO196" s="2" t="n">
        <v>6.12</v>
      </c>
      <c r="AP196" s="23" t="n">
        <v>17.3</v>
      </c>
      <c r="AQ196" s="33" t="n">
        <v>178.9</v>
      </c>
      <c r="AR196" s="33" t="n">
        <f aca="false">AQ196*0.55</f>
        <v>98.395</v>
      </c>
      <c r="AS196" s="33" t="n">
        <v>0</v>
      </c>
      <c r="AT196" s="33" t="n">
        <v>7.25</v>
      </c>
      <c r="AU196" s="23" t="n">
        <v>17.4</v>
      </c>
      <c r="AV196" s="33" t="n">
        <v>230</v>
      </c>
      <c r="AW196" s="33" t="n">
        <f aca="false">AV196*0.55</f>
        <v>126.5</v>
      </c>
      <c r="AX196" s="34"/>
      <c r="AY196" s="33" t="n">
        <v>0</v>
      </c>
    </row>
    <row r="197" customFormat="false" ht="15" hidden="false" customHeight="false" outlineLevel="0" collapsed="false">
      <c r="A197" s="16" t="n">
        <v>45476</v>
      </c>
      <c r="B197" s="2" t="s">
        <v>51</v>
      </c>
      <c r="C197" s="32" t="n">
        <v>8.2</v>
      </c>
      <c r="D197" s="23" t="n">
        <v>16.3</v>
      </c>
      <c r="E197" s="33" t="n">
        <v>55.3</v>
      </c>
      <c r="F197" s="34" t="n">
        <f aca="false">E197*0.6</f>
        <v>33.18</v>
      </c>
      <c r="G197" s="33" t="n">
        <v>1.76</v>
      </c>
      <c r="H197" s="33" t="n">
        <v>8.15</v>
      </c>
      <c r="I197" s="23" t="n">
        <v>16.4</v>
      </c>
      <c r="J197" s="49"/>
      <c r="K197" s="49"/>
      <c r="L197" s="33" t="n">
        <v>2.03</v>
      </c>
      <c r="M197" s="33" t="n">
        <v>8.15</v>
      </c>
      <c r="N197" s="23" t="n">
        <v>16.4</v>
      </c>
      <c r="O197" s="49"/>
      <c r="P197" s="49"/>
      <c r="Q197" s="33" t="n">
        <v>2.17</v>
      </c>
      <c r="R197" s="33" t="n">
        <v>8.1</v>
      </c>
      <c r="S197" s="23" t="n">
        <v>17</v>
      </c>
      <c r="T197" s="49"/>
      <c r="U197" s="49"/>
      <c r="V197" s="33" t="n">
        <v>0</v>
      </c>
      <c r="W197" s="33" t="n">
        <v>8.1</v>
      </c>
      <c r="X197" s="23" t="n">
        <v>17</v>
      </c>
      <c r="Y197" s="49"/>
      <c r="Z197" s="49"/>
      <c r="AA197" s="33" t="n">
        <v>0</v>
      </c>
      <c r="AB197" s="33" t="n">
        <v>8.05</v>
      </c>
      <c r="AC197" s="23" t="n">
        <v>16.8</v>
      </c>
      <c r="AD197" s="33" t="n">
        <v>55.2</v>
      </c>
      <c r="AE197" s="33" t="n">
        <f aca="false">0.6*AD197</f>
        <v>33.12</v>
      </c>
      <c r="AF197" s="33"/>
      <c r="AG197" s="33" t="n">
        <v>0</v>
      </c>
      <c r="AH197" s="33"/>
      <c r="AI197" s="33" t="n">
        <v>8.05</v>
      </c>
      <c r="AJ197" s="23" t="n">
        <v>16.8</v>
      </c>
      <c r="AK197" s="33" t="n">
        <v>55.2</v>
      </c>
      <c r="AL197" s="33" t="n">
        <f aca="false">0.6*AK197</f>
        <v>33.12</v>
      </c>
      <c r="AM197" s="33"/>
      <c r="AN197" s="33" t="n">
        <v>0</v>
      </c>
      <c r="AO197" s="2" t="n">
        <v>6.25</v>
      </c>
      <c r="AP197" s="23" t="n">
        <v>17</v>
      </c>
      <c r="AQ197" s="33" t="n">
        <v>198</v>
      </c>
      <c r="AR197" s="33" t="n">
        <f aca="false">AQ197*0.55</f>
        <v>108.9</v>
      </c>
      <c r="AS197" s="33" t="n">
        <v>0</v>
      </c>
      <c r="AT197" s="33" t="n">
        <v>7.35</v>
      </c>
      <c r="AU197" s="23" t="n">
        <v>18</v>
      </c>
      <c r="AV197" s="33" t="n">
        <v>309</v>
      </c>
      <c r="AW197" s="23"/>
      <c r="AX197" s="34" t="n">
        <v>1</v>
      </c>
      <c r="AY197" s="33" t="n">
        <v>0</v>
      </c>
    </row>
    <row r="198" customFormat="false" ht="15" hidden="false" customHeight="false" outlineLevel="0" collapsed="false">
      <c r="A198" s="16" t="n">
        <v>45476</v>
      </c>
      <c r="B198" s="2" t="s">
        <v>52</v>
      </c>
      <c r="C198" s="32" t="n">
        <v>8.15</v>
      </c>
      <c r="D198" s="23" t="n">
        <v>17.1</v>
      </c>
      <c r="E198" s="33" t="n">
        <v>54.7</v>
      </c>
      <c r="F198" s="33" t="n">
        <f aca="false">E198*0.6</f>
        <v>32.82</v>
      </c>
      <c r="G198" s="33" t="n">
        <v>1.51</v>
      </c>
      <c r="H198" s="33" t="n">
        <v>8.05</v>
      </c>
      <c r="I198" s="23" t="n">
        <v>16.11</v>
      </c>
      <c r="J198" s="49"/>
      <c r="K198" s="49"/>
      <c r="L198" s="33" t="n">
        <v>3.25</v>
      </c>
      <c r="M198" s="33" t="n">
        <v>8.05</v>
      </c>
      <c r="N198" s="23" t="n">
        <v>16.11</v>
      </c>
      <c r="O198" s="49"/>
      <c r="P198" s="49"/>
      <c r="Q198" s="33" t="n">
        <v>2.88</v>
      </c>
      <c r="R198" s="34" t="n">
        <v>8.04</v>
      </c>
      <c r="S198" s="19" t="n">
        <v>16.2</v>
      </c>
      <c r="T198" s="49"/>
      <c r="U198" s="49"/>
      <c r="V198" s="34" t="n">
        <v>0</v>
      </c>
      <c r="W198" s="33" t="n">
        <v>8.04</v>
      </c>
      <c r="X198" s="23" t="n">
        <v>16.2</v>
      </c>
      <c r="Y198" s="49"/>
      <c r="Z198" s="49"/>
      <c r="AA198" s="33" t="n">
        <v>0</v>
      </c>
      <c r="AB198" s="33" t="n">
        <v>8</v>
      </c>
      <c r="AC198" s="23" t="n">
        <v>16.3</v>
      </c>
      <c r="AD198" s="33" t="n">
        <v>54.7</v>
      </c>
      <c r="AE198" s="33" t="n">
        <f aca="false">0.6*AD198</f>
        <v>32.82</v>
      </c>
      <c r="AF198" s="33"/>
      <c r="AG198" s="33" t="n">
        <v>0</v>
      </c>
      <c r="AH198" s="33" t="s">
        <v>75</v>
      </c>
      <c r="AI198" s="33" t="n">
        <v>8</v>
      </c>
      <c r="AJ198" s="23" t="n">
        <v>16.3</v>
      </c>
      <c r="AK198" s="33" t="n">
        <v>54.7</v>
      </c>
      <c r="AL198" s="33" t="n">
        <f aca="false">0.6*AK198</f>
        <v>32.82</v>
      </c>
      <c r="AM198" s="33"/>
      <c r="AN198" s="33" t="n">
        <v>0</v>
      </c>
      <c r="AO198" s="2" t="n">
        <v>6.23</v>
      </c>
      <c r="AP198" s="23" t="n">
        <v>16.6</v>
      </c>
      <c r="AQ198" s="33" t="n">
        <v>197.6</v>
      </c>
      <c r="AR198" s="33" t="n">
        <f aca="false">AQ198*0.5</f>
        <v>98.8</v>
      </c>
      <c r="AS198" s="33" t="n">
        <v>0</v>
      </c>
      <c r="AT198" s="33" t="n">
        <v>7.4</v>
      </c>
      <c r="AU198" s="23" t="n">
        <v>16.8</v>
      </c>
      <c r="AV198" s="33" t="n">
        <v>288</v>
      </c>
      <c r="AW198" s="33" t="n">
        <f aca="false">AV198*0.55</f>
        <v>158.4</v>
      </c>
      <c r="AX198" s="34"/>
      <c r="AY198" s="33" t="n">
        <v>0</v>
      </c>
    </row>
    <row r="199" customFormat="false" ht="15" hidden="false" customHeight="false" outlineLevel="0" collapsed="false">
      <c r="A199" s="16" t="n">
        <v>45476</v>
      </c>
      <c r="B199" s="2" t="s">
        <v>57</v>
      </c>
      <c r="C199" s="32" t="n">
        <v>8.12</v>
      </c>
      <c r="D199" s="23" t="n">
        <v>16.8</v>
      </c>
      <c r="E199" s="33" t="n">
        <v>54.3</v>
      </c>
      <c r="F199" s="33" t="n">
        <f aca="false">E199*0.6</f>
        <v>32.58</v>
      </c>
      <c r="G199" s="33" t="n">
        <v>1.16</v>
      </c>
      <c r="H199" s="33" t="n">
        <v>8.1</v>
      </c>
      <c r="I199" s="23" t="n">
        <v>16.7</v>
      </c>
      <c r="J199" s="49"/>
      <c r="K199" s="49"/>
      <c r="L199" s="33" t="n">
        <v>2.52</v>
      </c>
      <c r="M199" s="33" t="n">
        <v>8.1</v>
      </c>
      <c r="N199" s="23" t="n">
        <v>16.7</v>
      </c>
      <c r="O199" s="49"/>
      <c r="P199" s="49"/>
      <c r="Q199" s="33" t="n">
        <v>2.58</v>
      </c>
      <c r="R199" s="34" t="n">
        <v>8.06</v>
      </c>
      <c r="S199" s="19" t="n">
        <v>16.5</v>
      </c>
      <c r="T199" s="49"/>
      <c r="U199" s="49"/>
      <c r="V199" s="34" t="n">
        <v>0</v>
      </c>
      <c r="W199" s="33" t="n">
        <v>8.06</v>
      </c>
      <c r="X199" s="23" t="n">
        <v>16.6</v>
      </c>
      <c r="Y199" s="49"/>
      <c r="Z199" s="49"/>
      <c r="AA199" s="33" t="n">
        <v>0</v>
      </c>
      <c r="AB199" s="33" t="n">
        <v>8.03</v>
      </c>
      <c r="AC199" s="23" t="n">
        <v>16.8</v>
      </c>
      <c r="AD199" s="33" t="n">
        <v>54.3</v>
      </c>
      <c r="AE199" s="33" t="n">
        <f aca="false">0.6*AD199</f>
        <v>32.58</v>
      </c>
      <c r="AF199" s="33"/>
      <c r="AG199" s="33" t="n">
        <v>0</v>
      </c>
      <c r="AH199" s="45"/>
      <c r="AI199" s="33" t="n">
        <v>8.03</v>
      </c>
      <c r="AJ199" s="23" t="n">
        <v>16.8</v>
      </c>
      <c r="AK199" s="33" t="n">
        <v>54.3</v>
      </c>
      <c r="AL199" s="33" t="n">
        <f aca="false">0.6*AK199</f>
        <v>32.58</v>
      </c>
      <c r="AM199" s="33"/>
      <c r="AN199" s="33" t="n">
        <v>0</v>
      </c>
      <c r="AO199" s="2" t="n">
        <v>6.12</v>
      </c>
      <c r="AP199" s="23" t="n">
        <v>16.9</v>
      </c>
      <c r="AQ199" s="33" t="n">
        <v>202</v>
      </c>
      <c r="AR199" s="33" t="n">
        <f aca="false">AQ199*0.55</f>
        <v>111.1</v>
      </c>
      <c r="AS199" s="33" t="n">
        <v>0</v>
      </c>
      <c r="AT199" s="33" t="n">
        <v>7.12</v>
      </c>
      <c r="AU199" s="23" t="n">
        <v>17.4</v>
      </c>
      <c r="AV199" s="33" t="n">
        <v>285</v>
      </c>
      <c r="AW199" s="33" t="n">
        <f aca="false">AV199*0.55</f>
        <v>156.75</v>
      </c>
      <c r="AX199" s="34" t="n">
        <v>1</v>
      </c>
      <c r="AY199" s="33" t="n">
        <v>0</v>
      </c>
    </row>
    <row r="200" customFormat="false" ht="15" hidden="false" customHeight="false" outlineLevel="0" collapsed="false">
      <c r="A200" s="16" t="n">
        <v>45538</v>
      </c>
      <c r="B200" s="2" t="s">
        <v>51</v>
      </c>
      <c r="C200" s="32"/>
      <c r="D200" s="23" t="n">
        <v>16.8</v>
      </c>
      <c r="E200" s="33" t="n">
        <v>54.8</v>
      </c>
      <c r="F200" s="34" t="n">
        <f aca="false">E200*0.6</f>
        <v>32.88</v>
      </c>
      <c r="G200" s="33" t="n">
        <v>1.78</v>
      </c>
      <c r="H200" s="33" t="n">
        <v>8.01</v>
      </c>
      <c r="I200" s="23" t="n">
        <v>16.4</v>
      </c>
      <c r="J200" s="49"/>
      <c r="K200" s="49"/>
      <c r="L200" s="33" t="n">
        <v>3.17</v>
      </c>
      <c r="M200" s="33" t="n">
        <v>8.01</v>
      </c>
      <c r="N200" s="23" t="n">
        <v>16.4</v>
      </c>
      <c r="O200" s="49"/>
      <c r="P200" s="49"/>
      <c r="Q200" s="33" t="n">
        <v>2.33</v>
      </c>
      <c r="R200" s="33" t="n">
        <v>8.01</v>
      </c>
      <c r="S200" s="23" t="n">
        <v>17</v>
      </c>
      <c r="T200" s="49"/>
      <c r="U200" s="49"/>
      <c r="V200" s="33" t="n">
        <v>0.02</v>
      </c>
      <c r="W200" s="33" t="n">
        <v>8.01</v>
      </c>
      <c r="X200" s="23" t="n">
        <v>17</v>
      </c>
      <c r="Y200" s="49"/>
      <c r="Z200" s="49"/>
      <c r="AA200" s="33" t="n">
        <v>0</v>
      </c>
      <c r="AB200" s="33" t="n">
        <v>7.99</v>
      </c>
      <c r="AC200" s="23" t="n">
        <v>16.8</v>
      </c>
      <c r="AD200" s="33" t="n">
        <v>54.8</v>
      </c>
      <c r="AE200" s="33" t="n">
        <f aca="false">0.6*AD200</f>
        <v>32.88</v>
      </c>
      <c r="AF200" s="33"/>
      <c r="AG200" s="33" t="n">
        <v>0</v>
      </c>
      <c r="AH200" s="33"/>
      <c r="AI200" s="33" t="n">
        <v>8</v>
      </c>
      <c r="AJ200" s="23" t="n">
        <v>16.8</v>
      </c>
      <c r="AK200" s="33" t="n">
        <v>54.6</v>
      </c>
      <c r="AL200" s="33" t="n">
        <f aca="false">0.6*AK200</f>
        <v>32.76</v>
      </c>
      <c r="AM200" s="33"/>
      <c r="AN200" s="33" t="n">
        <v>0</v>
      </c>
      <c r="AO200" s="2" t="n">
        <v>6.4</v>
      </c>
      <c r="AP200" s="23" t="n">
        <v>16.2</v>
      </c>
      <c r="AQ200" s="33" t="n">
        <v>198</v>
      </c>
      <c r="AR200" s="33" t="n">
        <f aca="false">AQ200*0.55</f>
        <v>108.9</v>
      </c>
      <c r="AS200" s="33" t="n">
        <v>0</v>
      </c>
      <c r="AT200" s="33" t="n">
        <v>7.13</v>
      </c>
      <c r="AU200" s="23" t="n">
        <v>16</v>
      </c>
      <c r="AV200" s="33" t="n">
        <v>344</v>
      </c>
      <c r="AW200" s="23"/>
      <c r="AX200" s="34" t="n">
        <v>1</v>
      </c>
      <c r="AY200" s="33" t="n">
        <v>0</v>
      </c>
    </row>
    <row r="201" customFormat="false" ht="15" hidden="false" customHeight="false" outlineLevel="0" collapsed="false">
      <c r="A201" s="16" t="n">
        <v>45538</v>
      </c>
      <c r="B201" s="2" t="s">
        <v>52</v>
      </c>
      <c r="C201" s="29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P201" s="21"/>
      <c r="AQ201" s="21"/>
      <c r="AR201" s="21"/>
      <c r="AS201" s="21"/>
      <c r="AT201" s="33" t="n">
        <v>7.5</v>
      </c>
      <c r="AU201" s="23" t="n">
        <v>16.5</v>
      </c>
      <c r="AV201" s="33" t="n">
        <v>420</v>
      </c>
      <c r="AW201" s="33" t="n">
        <f aca="false">AV201*0.55</f>
        <v>231</v>
      </c>
      <c r="AX201" s="34" t="n">
        <v>1</v>
      </c>
      <c r="AY201" s="33" t="n">
        <v>0</v>
      </c>
    </row>
    <row r="202" customFormat="false" ht="15" hidden="false" customHeight="false" outlineLevel="0" collapsed="false">
      <c r="A202" s="16" t="n">
        <v>45538</v>
      </c>
      <c r="B202" s="2" t="s">
        <v>57</v>
      </c>
      <c r="C202" s="32" t="n">
        <v>8.13</v>
      </c>
      <c r="D202" s="23" t="n">
        <v>18</v>
      </c>
      <c r="E202" s="33" t="n">
        <v>55</v>
      </c>
      <c r="F202" s="33" t="n">
        <f aca="false">E202*0.6</f>
        <v>33</v>
      </c>
      <c r="G202" s="33" t="n">
        <v>1.31</v>
      </c>
      <c r="H202" s="33" t="n">
        <v>8.12</v>
      </c>
      <c r="I202" s="23" t="n">
        <v>17</v>
      </c>
      <c r="J202" s="49"/>
      <c r="K202" s="49"/>
      <c r="L202" s="33" t="n">
        <v>3.33</v>
      </c>
      <c r="M202" s="33" t="n">
        <v>8.12</v>
      </c>
      <c r="N202" s="23" t="n">
        <v>16.7</v>
      </c>
      <c r="O202" s="49"/>
      <c r="P202" s="49"/>
      <c r="Q202" s="33" t="n">
        <v>1.97</v>
      </c>
      <c r="R202" s="34" t="n">
        <v>8.1</v>
      </c>
      <c r="S202" s="19" t="n">
        <v>17</v>
      </c>
      <c r="T202" s="49"/>
      <c r="U202" s="49"/>
      <c r="V202" s="34" t="n">
        <v>0</v>
      </c>
      <c r="W202" s="33" t="n">
        <v>8.1</v>
      </c>
      <c r="X202" s="23" t="n">
        <v>17</v>
      </c>
      <c r="Y202" s="49"/>
      <c r="Z202" s="49"/>
      <c r="AA202" s="33" t="n">
        <v>0</v>
      </c>
      <c r="AB202" s="33" t="n">
        <v>8.09</v>
      </c>
      <c r="AC202" s="23" t="n">
        <v>17</v>
      </c>
      <c r="AD202" s="33" t="n">
        <v>54.7</v>
      </c>
      <c r="AE202" s="33" t="n">
        <f aca="false">0.6*AD202</f>
        <v>32.82</v>
      </c>
      <c r="AF202" s="33"/>
      <c r="AG202" s="33" t="n">
        <v>0</v>
      </c>
      <c r="AH202" s="45"/>
      <c r="AI202" s="33" t="n">
        <v>8.09</v>
      </c>
      <c r="AJ202" s="23" t="n">
        <v>17</v>
      </c>
      <c r="AK202" s="33" t="n">
        <v>54.7</v>
      </c>
      <c r="AL202" s="33" t="n">
        <f aca="false">0.6*AK202</f>
        <v>32.82</v>
      </c>
      <c r="AM202" s="33"/>
      <c r="AN202" s="33" t="n">
        <v>0</v>
      </c>
      <c r="AO202" s="2" t="n">
        <v>6.4</v>
      </c>
      <c r="AP202" s="23" t="n">
        <v>16.5</v>
      </c>
      <c r="AQ202" s="33" t="n">
        <v>185</v>
      </c>
      <c r="AR202" s="33" t="n">
        <f aca="false">AQ202*0.55</f>
        <v>101.75</v>
      </c>
      <c r="AS202" s="33" t="n">
        <v>0</v>
      </c>
      <c r="AT202" s="33" t="n">
        <v>7.35</v>
      </c>
      <c r="AU202" s="23" t="n">
        <v>16.5</v>
      </c>
      <c r="AV202" s="33" t="n">
        <v>285</v>
      </c>
      <c r="AW202" s="33" t="n">
        <f aca="false">AV202*0.55</f>
        <v>156.75</v>
      </c>
      <c r="AX202" s="34"/>
      <c r="AY202" s="33" t="n">
        <v>0</v>
      </c>
    </row>
    <row r="203" customFormat="false" ht="15" hidden="false" customHeight="false" outlineLevel="0" collapsed="false">
      <c r="A203" s="16" t="n">
        <v>45568</v>
      </c>
      <c r="B203" s="2" t="s">
        <v>51</v>
      </c>
      <c r="C203" s="32" t="n">
        <v>8.12</v>
      </c>
      <c r="D203" s="23" t="n">
        <v>16.5</v>
      </c>
      <c r="E203" s="33" t="n">
        <v>54.7</v>
      </c>
      <c r="F203" s="34" t="n">
        <f aca="false">0.6*E203</f>
        <v>32.82</v>
      </c>
      <c r="G203" s="33" t="n">
        <v>0.99</v>
      </c>
      <c r="H203" s="33" t="n">
        <v>8.08</v>
      </c>
      <c r="I203" s="23" t="n">
        <v>15.8</v>
      </c>
      <c r="J203" s="49"/>
      <c r="K203" s="37"/>
      <c r="L203" s="33" t="n">
        <v>2.3</v>
      </c>
      <c r="M203" s="33" t="n">
        <v>8.08</v>
      </c>
      <c r="N203" s="23" t="n">
        <v>15.8</v>
      </c>
      <c r="O203" s="49"/>
      <c r="P203" s="37"/>
      <c r="Q203" s="33" t="n">
        <v>2.29</v>
      </c>
      <c r="R203" s="33" t="n">
        <v>8.03</v>
      </c>
      <c r="S203" s="23" t="n">
        <v>15.9</v>
      </c>
      <c r="T203" s="49"/>
      <c r="U203" s="37"/>
      <c r="V203" s="33" t="n">
        <v>0</v>
      </c>
      <c r="W203" s="33" t="n">
        <v>8.03</v>
      </c>
      <c r="X203" s="23" t="n">
        <v>15.9</v>
      </c>
      <c r="Y203" s="49"/>
      <c r="Z203" s="37"/>
      <c r="AA203" s="33" t="n">
        <v>0</v>
      </c>
      <c r="AB203" s="33" t="n">
        <v>8</v>
      </c>
      <c r="AC203" s="23" t="n">
        <v>16.2</v>
      </c>
      <c r="AD203" s="33" t="n">
        <v>54.7</v>
      </c>
      <c r="AE203" s="34" t="n">
        <f aca="false">0.6*AD203</f>
        <v>32.82</v>
      </c>
      <c r="AF203" s="33"/>
      <c r="AG203" s="33" t="n">
        <v>0</v>
      </c>
      <c r="AH203" s="33"/>
      <c r="AI203" s="33" t="n">
        <v>8</v>
      </c>
      <c r="AJ203" s="23" t="n">
        <v>16.3</v>
      </c>
      <c r="AK203" s="33" t="n">
        <v>54.7</v>
      </c>
      <c r="AL203" s="34" t="n">
        <f aca="false">0.6*AK203</f>
        <v>32.82</v>
      </c>
      <c r="AM203" s="33"/>
      <c r="AN203" s="33" t="n">
        <v>0</v>
      </c>
      <c r="AO203" s="2" t="n">
        <v>6.4</v>
      </c>
      <c r="AP203" s="23" t="n">
        <v>16.6</v>
      </c>
      <c r="AQ203" s="33" t="n">
        <v>192.2</v>
      </c>
      <c r="AR203" s="34" t="n">
        <f aca="false">0.55*AQ203</f>
        <v>105.71</v>
      </c>
      <c r="AS203" s="33" t="n">
        <v>0</v>
      </c>
      <c r="AT203" s="33" t="n">
        <v>7.18</v>
      </c>
      <c r="AU203" s="23" t="n">
        <v>17</v>
      </c>
      <c r="AV203" s="33" t="n">
        <v>305</v>
      </c>
      <c r="AW203" s="23"/>
      <c r="AX203" s="34" t="n">
        <v>1</v>
      </c>
      <c r="AY203" s="33" t="n">
        <v>0</v>
      </c>
    </row>
    <row r="204" customFormat="false" ht="15" hidden="false" customHeight="false" outlineLevel="0" collapsed="false">
      <c r="A204" s="16" t="n">
        <v>45568</v>
      </c>
      <c r="B204" s="2" t="s">
        <v>52</v>
      </c>
      <c r="C204" s="32" t="n">
        <v>8.1</v>
      </c>
      <c r="D204" s="23" t="n">
        <v>16.7</v>
      </c>
      <c r="E204" s="33" t="n">
        <v>54.7</v>
      </c>
      <c r="F204" s="33" t="n">
        <f aca="false">0.6*E204</f>
        <v>32.82</v>
      </c>
      <c r="G204" s="33" t="n">
        <v>1.55</v>
      </c>
      <c r="H204" s="33" t="n">
        <v>8.03</v>
      </c>
      <c r="I204" s="23" t="n">
        <v>16.1</v>
      </c>
      <c r="J204" s="49"/>
      <c r="K204" s="49"/>
      <c r="L204" s="33" t="n">
        <v>2.3</v>
      </c>
      <c r="M204" s="33" t="n">
        <v>8.03</v>
      </c>
      <c r="N204" s="23" t="n">
        <v>16.1</v>
      </c>
      <c r="O204" s="49"/>
      <c r="P204" s="49"/>
      <c r="Q204" s="33" t="n">
        <v>2.21</v>
      </c>
      <c r="R204" s="34" t="n">
        <v>8.02</v>
      </c>
      <c r="S204" s="19" t="n">
        <v>16.2</v>
      </c>
      <c r="T204" s="49"/>
      <c r="U204" s="49"/>
      <c r="V204" s="34" t="n">
        <v>0</v>
      </c>
      <c r="W204" s="33" t="n">
        <v>8.02</v>
      </c>
      <c r="X204" s="23" t="n">
        <v>16.2</v>
      </c>
      <c r="Y204" s="49"/>
      <c r="Z204" s="49"/>
      <c r="AA204" s="33" t="n">
        <v>0</v>
      </c>
      <c r="AB204" s="33" t="n">
        <v>8</v>
      </c>
      <c r="AC204" s="23" t="n">
        <v>16.3</v>
      </c>
      <c r="AD204" s="33" t="n">
        <v>54.7</v>
      </c>
      <c r="AE204" s="33" t="n">
        <f aca="false">0.6*AD204</f>
        <v>32.82</v>
      </c>
      <c r="AF204" s="33"/>
      <c r="AG204" s="33" t="n">
        <v>0</v>
      </c>
      <c r="AH204" s="33" t="s">
        <v>75</v>
      </c>
      <c r="AI204" s="33" t="n">
        <v>8</v>
      </c>
      <c r="AJ204" s="23" t="n">
        <v>16.3</v>
      </c>
      <c r="AK204" s="33" t="n">
        <v>54.7</v>
      </c>
      <c r="AL204" s="33" t="n">
        <f aca="false">0.6*AK204</f>
        <v>32.82</v>
      </c>
      <c r="AM204" s="33"/>
      <c r="AN204" s="33" t="n">
        <v>0</v>
      </c>
      <c r="AO204" s="2" t="n">
        <v>6.11</v>
      </c>
      <c r="AP204" s="23" t="n">
        <v>16.5</v>
      </c>
      <c r="AQ204" s="33" t="n">
        <v>194.2</v>
      </c>
      <c r="AR204" s="33" t="n">
        <f aca="false">0.55*AQ204</f>
        <v>106.81</v>
      </c>
      <c r="AS204" s="33" t="n">
        <v>0</v>
      </c>
      <c r="AT204" s="33" t="n">
        <v>7.21</v>
      </c>
      <c r="AU204" s="23" t="n">
        <v>17.2</v>
      </c>
      <c r="AV204" s="33" t="n">
        <v>285</v>
      </c>
      <c r="AW204" s="33" t="n">
        <f aca="false">0.55*AV204</f>
        <v>156.75</v>
      </c>
      <c r="AX204" s="34"/>
      <c r="AY204" s="33" t="n">
        <v>0</v>
      </c>
    </row>
    <row r="205" customFormat="false" ht="15" hidden="false" customHeight="false" outlineLevel="0" collapsed="false">
      <c r="A205" s="16" t="n">
        <v>45568</v>
      </c>
      <c r="B205" s="2" t="s">
        <v>57</v>
      </c>
      <c r="C205" s="32" t="n">
        <v>8.14</v>
      </c>
      <c r="D205" s="23" t="n">
        <v>18.6</v>
      </c>
      <c r="E205" s="33" t="n">
        <v>54.2</v>
      </c>
      <c r="F205" s="33" t="n">
        <f aca="false">0.6*E205</f>
        <v>32.52</v>
      </c>
      <c r="G205" s="33" t="n">
        <v>1.6</v>
      </c>
      <c r="H205" s="33" t="n">
        <v>8.08</v>
      </c>
      <c r="I205" s="23" t="n">
        <v>16.5</v>
      </c>
      <c r="J205" s="49"/>
      <c r="K205" s="49"/>
      <c r="L205" s="33" t="n">
        <v>1.94</v>
      </c>
      <c r="M205" s="33" t="n">
        <v>8.08</v>
      </c>
      <c r="N205" s="23" t="n">
        <v>16.5</v>
      </c>
      <c r="O205" s="49"/>
      <c r="P205" s="49"/>
      <c r="Q205" s="33" t="n">
        <v>1.69</v>
      </c>
      <c r="R205" s="34" t="n">
        <v>8.08</v>
      </c>
      <c r="S205" s="19" t="n">
        <v>16.4</v>
      </c>
      <c r="T205" s="49"/>
      <c r="U205" s="49"/>
      <c r="V205" s="34" t="n">
        <v>0</v>
      </c>
      <c r="W205" s="33" t="n">
        <v>8.08</v>
      </c>
      <c r="X205" s="23" t="n">
        <v>16.4</v>
      </c>
      <c r="Y205" s="49"/>
      <c r="Z205" s="49"/>
      <c r="AA205" s="33" t="n">
        <v>0</v>
      </c>
      <c r="AB205" s="33" t="n">
        <v>8.05</v>
      </c>
      <c r="AC205" s="23" t="n">
        <v>16.7</v>
      </c>
      <c r="AD205" s="33" t="n">
        <v>54.2</v>
      </c>
      <c r="AE205" s="33" t="n">
        <f aca="false">0.6*AD205</f>
        <v>32.52</v>
      </c>
      <c r="AF205" s="33"/>
      <c r="AG205" s="33" t="n">
        <v>0</v>
      </c>
      <c r="AH205" s="45"/>
      <c r="AI205" s="33" t="n">
        <v>8.05</v>
      </c>
      <c r="AJ205" s="23" t="n">
        <v>16.6</v>
      </c>
      <c r="AK205" s="33" t="n">
        <v>54.2</v>
      </c>
      <c r="AL205" s="33" t="n">
        <f aca="false">0.6*AK205</f>
        <v>32.52</v>
      </c>
      <c r="AM205" s="33"/>
      <c r="AN205" s="33" t="n">
        <v>0</v>
      </c>
      <c r="AO205" s="2" t="n">
        <v>5.82</v>
      </c>
      <c r="AP205" s="23" t="n">
        <v>17.2</v>
      </c>
      <c r="AQ205" s="33" t="n">
        <v>175.5</v>
      </c>
      <c r="AR205" s="33" t="n">
        <f aca="false">0.55*AQ205</f>
        <v>96.525</v>
      </c>
      <c r="AS205" s="33" t="n">
        <v>0</v>
      </c>
      <c r="AT205" s="33" t="n">
        <v>7.19</v>
      </c>
      <c r="AU205" s="23" t="n">
        <v>17</v>
      </c>
      <c r="AV205" s="33" t="n">
        <v>285</v>
      </c>
      <c r="AW205" s="33" t="n">
        <f aca="false">0.55*AV205</f>
        <v>156.75</v>
      </c>
      <c r="AX205" s="34" t="n">
        <v>1</v>
      </c>
      <c r="AY205" s="33" t="n">
        <v>0</v>
      </c>
    </row>
    <row r="206" customFormat="false" ht="15" hidden="false" customHeight="false" outlineLevel="0" collapsed="false">
      <c r="A206" s="16" t="n">
        <v>45599</v>
      </c>
      <c r="B206" s="2" t="s">
        <v>51</v>
      </c>
      <c r="C206" s="32" t="n">
        <v>8.16</v>
      </c>
      <c r="D206" s="23" t="n">
        <v>16.3</v>
      </c>
      <c r="E206" s="33" t="n">
        <v>54.8</v>
      </c>
      <c r="F206" s="34" t="n">
        <f aca="false">0.6*E206</f>
        <v>32.88</v>
      </c>
      <c r="G206" s="33" t="n">
        <v>0.86</v>
      </c>
      <c r="H206" s="33" t="n">
        <v>8.09</v>
      </c>
      <c r="I206" s="23" t="n">
        <v>15.8</v>
      </c>
      <c r="J206" s="49"/>
      <c r="K206" s="37"/>
      <c r="L206" s="33" t="n">
        <v>1.59</v>
      </c>
      <c r="M206" s="33" t="n">
        <v>8.09</v>
      </c>
      <c r="N206" s="23" t="n">
        <v>15.8</v>
      </c>
      <c r="O206" s="49"/>
      <c r="P206" s="37"/>
      <c r="Q206" s="33" t="n">
        <v>1.43</v>
      </c>
      <c r="R206" s="33" t="n">
        <v>8.09</v>
      </c>
      <c r="S206" s="23" t="n">
        <v>15.8</v>
      </c>
      <c r="T206" s="49"/>
      <c r="U206" s="37"/>
      <c r="V206" s="33" t="n">
        <v>0</v>
      </c>
      <c r="W206" s="33" t="n">
        <v>8.09</v>
      </c>
      <c r="X206" s="23" t="n">
        <v>15.8</v>
      </c>
      <c r="Y206" s="49"/>
      <c r="Z206" s="37"/>
      <c r="AA206" s="33" t="n">
        <v>0</v>
      </c>
      <c r="AB206" s="33" t="n">
        <v>8.06</v>
      </c>
      <c r="AC206" s="23" t="n">
        <v>16.8</v>
      </c>
      <c r="AD206" s="33" t="n">
        <v>54.8</v>
      </c>
      <c r="AE206" s="34" t="n">
        <f aca="false">0.6*AD206</f>
        <v>32.88</v>
      </c>
      <c r="AF206" s="33"/>
      <c r="AG206" s="33" t="n">
        <v>0</v>
      </c>
      <c r="AH206" s="33"/>
      <c r="AI206" s="33" t="n">
        <v>8.06</v>
      </c>
      <c r="AJ206" s="23" t="n">
        <v>16.9</v>
      </c>
      <c r="AK206" s="33" t="n">
        <v>54.8</v>
      </c>
      <c r="AL206" s="34" t="n">
        <f aca="false">0.6*AK206</f>
        <v>32.88</v>
      </c>
      <c r="AM206" s="33"/>
      <c r="AN206" s="33" t="n">
        <v>0</v>
      </c>
      <c r="AO206" s="2" t="n">
        <v>6.18</v>
      </c>
      <c r="AP206" s="23" t="n">
        <v>17.1</v>
      </c>
      <c r="AQ206" s="33" t="n">
        <v>181</v>
      </c>
      <c r="AR206" s="34" t="n">
        <f aca="false">0.55*AQ206</f>
        <v>99.55</v>
      </c>
      <c r="AS206" s="33" t="n">
        <v>0</v>
      </c>
      <c r="AT206" s="33" t="n">
        <v>7.18</v>
      </c>
      <c r="AU206" s="23" t="n">
        <v>17</v>
      </c>
      <c r="AV206" s="33" t="n">
        <v>306</v>
      </c>
      <c r="AW206" s="23"/>
      <c r="AX206" s="34" t="n">
        <v>1</v>
      </c>
      <c r="AY206" s="33" t="n">
        <v>0</v>
      </c>
    </row>
    <row r="207" customFormat="false" ht="15" hidden="false" customHeight="false" outlineLevel="0" collapsed="false">
      <c r="A207" s="16" t="n">
        <v>45599</v>
      </c>
      <c r="B207" s="2" t="s">
        <v>52</v>
      </c>
      <c r="C207" s="32" t="n">
        <v>8.16</v>
      </c>
      <c r="D207" s="23" t="n">
        <v>16</v>
      </c>
      <c r="E207" s="33" t="n">
        <v>54.8</v>
      </c>
      <c r="F207" s="33" t="n">
        <f aca="false">0.6*E207</f>
        <v>32.88</v>
      </c>
      <c r="G207" s="33" t="n">
        <v>0.8</v>
      </c>
      <c r="H207" s="33" t="n">
        <v>8.09</v>
      </c>
      <c r="I207" s="23" t="n">
        <v>16</v>
      </c>
      <c r="J207" s="49"/>
      <c r="K207" s="49"/>
      <c r="L207" s="33" t="n">
        <v>1.69</v>
      </c>
      <c r="M207" s="33" t="n">
        <v>8.09</v>
      </c>
      <c r="N207" s="23" t="n">
        <v>16</v>
      </c>
      <c r="O207" s="49"/>
      <c r="P207" s="49"/>
      <c r="Q207" s="33" t="n">
        <v>2.13</v>
      </c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P207" s="21"/>
      <c r="AQ207" s="21"/>
      <c r="AR207" s="21"/>
      <c r="AS207" s="21"/>
      <c r="AT207" s="33" t="n">
        <v>7.19</v>
      </c>
      <c r="AU207" s="23" t="n">
        <v>17</v>
      </c>
      <c r="AV207" s="33" t="n">
        <v>283</v>
      </c>
      <c r="AW207" s="33" t="n">
        <f aca="false">0.55*AV207</f>
        <v>155.65</v>
      </c>
      <c r="AX207" s="34" t="n">
        <v>1</v>
      </c>
      <c r="AY207" s="33" t="n">
        <v>0</v>
      </c>
    </row>
    <row r="208" customFormat="false" ht="15" hidden="false" customHeight="false" outlineLevel="0" collapsed="false">
      <c r="A208" s="16" t="n">
        <v>45599</v>
      </c>
      <c r="B208" s="2" t="s">
        <v>57</v>
      </c>
      <c r="C208" s="32" t="n">
        <v>8.08</v>
      </c>
      <c r="D208" s="23" t="n">
        <v>16.9</v>
      </c>
      <c r="E208" s="33" t="n">
        <v>54.7</v>
      </c>
      <c r="F208" s="33" t="n">
        <f aca="false">0.6*E208</f>
        <v>32.82</v>
      </c>
      <c r="G208" s="33" t="n">
        <v>0.74</v>
      </c>
      <c r="H208" s="33" t="n">
        <v>8.06</v>
      </c>
      <c r="I208" s="23" t="n">
        <v>16.2</v>
      </c>
      <c r="J208" s="49"/>
      <c r="K208" s="49"/>
      <c r="L208" s="33" t="n">
        <v>2.23</v>
      </c>
      <c r="M208" s="33" t="n">
        <v>8.06</v>
      </c>
      <c r="N208" s="23" t="n">
        <v>16.2</v>
      </c>
      <c r="O208" s="49"/>
      <c r="P208" s="49"/>
      <c r="Q208" s="33" t="n">
        <v>2</v>
      </c>
      <c r="R208" s="34" t="n">
        <v>8.04</v>
      </c>
      <c r="S208" s="19" t="n">
        <v>16.2</v>
      </c>
      <c r="T208" s="49"/>
      <c r="U208" s="49"/>
      <c r="V208" s="34" t="n">
        <v>0</v>
      </c>
      <c r="W208" s="33" t="n">
        <v>8.04</v>
      </c>
      <c r="X208" s="23" t="n">
        <v>16.2</v>
      </c>
      <c r="Y208" s="49"/>
      <c r="Z208" s="49"/>
      <c r="AA208" s="33" t="n">
        <v>0</v>
      </c>
      <c r="AB208" s="33" t="n">
        <v>8.04</v>
      </c>
      <c r="AC208" s="23" t="n">
        <v>16.4</v>
      </c>
      <c r="AD208" s="33" t="n">
        <v>54.7</v>
      </c>
      <c r="AE208" s="33" t="n">
        <f aca="false">0.6*AD208</f>
        <v>32.82</v>
      </c>
      <c r="AF208" s="33"/>
      <c r="AG208" s="33" t="n">
        <v>0</v>
      </c>
      <c r="AH208" s="45"/>
      <c r="AI208" s="33" t="n">
        <v>8.04</v>
      </c>
      <c r="AJ208" s="23" t="n">
        <v>16.5</v>
      </c>
      <c r="AK208" s="33" t="n">
        <v>54.7</v>
      </c>
      <c r="AL208" s="33" t="n">
        <f aca="false">0.6*AK208</f>
        <v>32.82</v>
      </c>
      <c r="AM208" s="33"/>
      <c r="AN208" s="33" t="n">
        <v>0</v>
      </c>
      <c r="AO208" s="2" t="n">
        <v>6.22</v>
      </c>
      <c r="AP208" s="23" t="n">
        <v>16.6</v>
      </c>
      <c r="AQ208" s="33" t="n">
        <v>198.6</v>
      </c>
      <c r="AR208" s="33" t="n">
        <f aca="false">0.55*AQ208</f>
        <v>109.23</v>
      </c>
      <c r="AS208" s="33" t="n">
        <v>0</v>
      </c>
      <c r="AT208" s="33" t="n">
        <v>7.15</v>
      </c>
      <c r="AU208" s="23" t="n">
        <v>17</v>
      </c>
      <c r="AV208" s="33" t="n">
        <v>340</v>
      </c>
      <c r="AW208" s="33" t="n">
        <f aca="false">0.55*AV208</f>
        <v>187</v>
      </c>
      <c r="AX208" s="34" t="n">
        <v>1.08</v>
      </c>
      <c r="AY208" s="33" t="n">
        <v>0</v>
      </c>
    </row>
    <row r="209" customFormat="false" ht="15" hidden="false" customHeight="false" outlineLevel="0" collapsed="false">
      <c r="A209" s="16" t="n">
        <v>45629</v>
      </c>
      <c r="B209" s="2" t="s">
        <v>51</v>
      </c>
      <c r="C209" s="32" t="n">
        <v>8.12</v>
      </c>
      <c r="D209" s="23" t="n">
        <v>16.6</v>
      </c>
      <c r="E209" s="33" t="n">
        <v>54.8</v>
      </c>
      <c r="F209" s="34" t="n">
        <f aca="false">0.6*E209</f>
        <v>32.88</v>
      </c>
      <c r="G209" s="33" t="n">
        <v>0.4</v>
      </c>
      <c r="H209" s="33" t="n">
        <v>8.07</v>
      </c>
      <c r="I209" s="23" t="n">
        <v>15.9</v>
      </c>
      <c r="J209" s="49"/>
      <c r="K209" s="37"/>
      <c r="L209" s="33" t="n">
        <v>1.77</v>
      </c>
      <c r="M209" s="33" t="n">
        <v>8.07</v>
      </c>
      <c r="N209" s="23" t="n">
        <v>15.9</v>
      </c>
      <c r="O209" s="49"/>
      <c r="P209" s="37"/>
      <c r="Q209" s="33" t="n">
        <v>1.18</v>
      </c>
      <c r="R209" s="33" t="n">
        <v>8.04</v>
      </c>
      <c r="S209" s="23" t="n">
        <v>15.9</v>
      </c>
      <c r="T209" s="49"/>
      <c r="U209" s="37"/>
      <c r="V209" s="33" t="n">
        <v>0</v>
      </c>
      <c r="W209" s="33" t="n">
        <v>8.04</v>
      </c>
      <c r="X209" s="23" t="n">
        <v>15.8</v>
      </c>
      <c r="Y209" s="49"/>
      <c r="Z209" s="37"/>
      <c r="AA209" s="33" t="n">
        <v>0</v>
      </c>
      <c r="AB209" s="33" t="n">
        <v>8.02</v>
      </c>
      <c r="AC209" s="23" t="n">
        <v>16.2</v>
      </c>
      <c r="AD209" s="33" t="n">
        <v>54.7</v>
      </c>
      <c r="AE209" s="34" t="n">
        <f aca="false">0.6*AD209</f>
        <v>32.82</v>
      </c>
      <c r="AF209" s="33"/>
      <c r="AG209" s="33" t="n">
        <v>0</v>
      </c>
      <c r="AH209" s="33"/>
      <c r="AI209" s="33" t="n">
        <v>8.02</v>
      </c>
      <c r="AJ209" s="23" t="n">
        <v>16.2</v>
      </c>
      <c r="AK209" s="33" t="n">
        <v>54.7</v>
      </c>
      <c r="AL209" s="34" t="n">
        <f aca="false">0.6*AK209</f>
        <v>32.82</v>
      </c>
      <c r="AM209" s="33"/>
      <c r="AN209" s="33" t="n">
        <v>0</v>
      </c>
      <c r="AO209" s="2" t="n">
        <v>6.23</v>
      </c>
      <c r="AP209" s="23" t="n">
        <v>16.2</v>
      </c>
      <c r="AQ209" s="33" t="n">
        <v>194.5</v>
      </c>
      <c r="AR209" s="34" t="n">
        <f aca="false">0.55*AQ209</f>
        <v>106.975</v>
      </c>
      <c r="AS209" s="33" t="n">
        <v>0</v>
      </c>
      <c r="AT209" s="33" t="n">
        <v>7.1</v>
      </c>
      <c r="AU209" s="23" t="n">
        <v>17</v>
      </c>
      <c r="AV209" s="33" t="n">
        <v>282</v>
      </c>
      <c r="AW209" s="23"/>
      <c r="AX209" s="34" t="n">
        <v>1</v>
      </c>
      <c r="AY209" s="33" t="n">
        <v>0</v>
      </c>
    </row>
    <row r="210" customFormat="false" ht="15" hidden="false" customHeight="false" outlineLevel="0" collapsed="false">
      <c r="A210" s="16" t="n">
        <v>45629</v>
      </c>
      <c r="B210" s="2" t="s">
        <v>52</v>
      </c>
      <c r="C210" s="29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P210" s="21"/>
      <c r="AQ210" s="21"/>
      <c r="AR210" s="21"/>
      <c r="AS210" s="21"/>
      <c r="AT210" s="33" t="n">
        <v>7.12</v>
      </c>
      <c r="AU210" s="23" t="n">
        <v>18.2</v>
      </c>
      <c r="AV210" s="33" t="n">
        <v>276</v>
      </c>
      <c r="AW210" s="33" t="n">
        <f aca="false">0.55*AV210</f>
        <v>151.8</v>
      </c>
      <c r="AX210" s="34" t="n">
        <v>1</v>
      </c>
      <c r="AY210" s="33" t="n">
        <v>0</v>
      </c>
    </row>
    <row r="211" customFormat="false" ht="15" hidden="false" customHeight="false" outlineLevel="0" collapsed="false">
      <c r="A211" s="16" t="n">
        <v>45629</v>
      </c>
      <c r="B211" s="2" t="s">
        <v>57</v>
      </c>
      <c r="C211" s="32" t="n">
        <v>8.15</v>
      </c>
      <c r="D211" s="23" t="n">
        <v>17.4</v>
      </c>
      <c r="E211" s="33" t="n">
        <v>54.8</v>
      </c>
      <c r="F211" s="33" t="n">
        <f aca="false">0.6*E211</f>
        <v>32.88</v>
      </c>
      <c r="G211" s="33" t="n">
        <v>0.68</v>
      </c>
      <c r="H211" s="33" t="n">
        <v>8.09</v>
      </c>
      <c r="I211" s="23" t="n">
        <v>16.2</v>
      </c>
      <c r="J211" s="49"/>
      <c r="K211" s="49"/>
      <c r="L211" s="33" t="n">
        <v>1.44</v>
      </c>
      <c r="M211" s="33" t="n">
        <v>8.09</v>
      </c>
      <c r="N211" s="23" t="n">
        <v>16.2</v>
      </c>
      <c r="O211" s="49"/>
      <c r="P211" s="49"/>
      <c r="Q211" s="33" t="n">
        <v>1.6</v>
      </c>
      <c r="R211" s="34" t="n">
        <v>8.08</v>
      </c>
      <c r="S211" s="19" t="n">
        <v>16.2</v>
      </c>
      <c r="T211" s="49"/>
      <c r="U211" s="49"/>
      <c r="V211" s="34" t="n">
        <v>0.07</v>
      </c>
      <c r="W211" s="33" t="n">
        <v>8.08</v>
      </c>
      <c r="X211" s="23" t="n">
        <v>16.2</v>
      </c>
      <c r="Y211" s="49"/>
      <c r="Z211" s="49"/>
      <c r="AA211" s="33" t="n">
        <v>0.05</v>
      </c>
      <c r="AB211" s="33" t="n">
        <v>8.04</v>
      </c>
      <c r="AC211" s="23" t="n">
        <v>16.8</v>
      </c>
      <c r="AD211" s="33" t="n">
        <v>54.8</v>
      </c>
      <c r="AE211" s="33" t="n">
        <f aca="false">0.6*AD211</f>
        <v>32.88</v>
      </c>
      <c r="AF211" s="33"/>
      <c r="AG211" s="33" t="n">
        <v>0.02</v>
      </c>
      <c r="AH211" s="45"/>
      <c r="AI211" s="33" t="n">
        <v>8.03</v>
      </c>
      <c r="AJ211" s="23" t="n">
        <v>16.8</v>
      </c>
      <c r="AK211" s="33" t="n">
        <v>54.6</v>
      </c>
      <c r="AL211" s="33" t="n">
        <f aca="false">0.6*AK211</f>
        <v>32.76</v>
      </c>
      <c r="AM211" s="33"/>
      <c r="AN211" s="33" t="n">
        <v>0.02</v>
      </c>
      <c r="AO211" s="2" t="n">
        <v>6.11</v>
      </c>
      <c r="AP211" s="23" t="n">
        <v>17.1</v>
      </c>
      <c r="AQ211" s="33" t="n">
        <v>180.9</v>
      </c>
      <c r="AR211" s="33" t="n">
        <f aca="false">0.5*AQ211</f>
        <v>90.45</v>
      </c>
      <c r="AS211" s="33" t="n">
        <v>0.02</v>
      </c>
      <c r="AT211" s="33" t="n">
        <v>7</v>
      </c>
      <c r="AU211" s="23" t="n">
        <v>17.8</v>
      </c>
      <c r="AV211" s="33" t="n">
        <v>281</v>
      </c>
      <c r="AW211" s="33" t="n">
        <f aca="false">0.5*AV211</f>
        <v>140.5</v>
      </c>
      <c r="AX211" s="34"/>
      <c r="AY211" s="33" t="n">
        <v>0.04</v>
      </c>
    </row>
    <row r="212" customFormat="false" ht="15" hidden="false" customHeight="false" outlineLevel="0" collapsed="false">
      <c r="A212" s="16" t="s">
        <v>76</v>
      </c>
      <c r="B212" s="2" t="s">
        <v>51</v>
      </c>
      <c r="C212" s="32" t="n">
        <v>8.14</v>
      </c>
      <c r="D212" s="23" t="n">
        <v>16.6</v>
      </c>
      <c r="E212" s="33" t="n">
        <v>54.7</v>
      </c>
      <c r="F212" s="34" t="n">
        <f aca="false">0.6*E212</f>
        <v>32.82</v>
      </c>
      <c r="G212" s="33" t="n">
        <v>0.41</v>
      </c>
      <c r="H212" s="33" t="n">
        <v>8.09</v>
      </c>
      <c r="I212" s="23" t="n">
        <v>16</v>
      </c>
      <c r="J212" s="49"/>
      <c r="K212" s="37"/>
      <c r="L212" s="33" t="n">
        <v>1.52</v>
      </c>
      <c r="M212" s="33" t="n">
        <v>8.09</v>
      </c>
      <c r="N212" s="23" t="n">
        <v>16</v>
      </c>
      <c r="O212" s="49"/>
      <c r="P212" s="37"/>
      <c r="Q212" s="33" t="n">
        <v>1.24</v>
      </c>
      <c r="R212" s="33" t="n">
        <v>8.05</v>
      </c>
      <c r="S212" s="23" t="n">
        <v>16.1</v>
      </c>
      <c r="T212" s="49"/>
      <c r="U212" s="37"/>
      <c r="V212" s="33" t="n">
        <v>0.02</v>
      </c>
      <c r="W212" s="33" t="n">
        <v>8.05</v>
      </c>
      <c r="X212" s="23" t="n">
        <v>16.1</v>
      </c>
      <c r="Y212" s="49"/>
      <c r="Z212" s="37"/>
      <c r="AA212" s="33" t="n">
        <v>0.03</v>
      </c>
      <c r="AB212" s="33" t="n">
        <v>8.04</v>
      </c>
      <c r="AC212" s="23" t="n">
        <v>16</v>
      </c>
      <c r="AD212" s="33" t="n">
        <v>54.7</v>
      </c>
      <c r="AE212" s="34" t="n">
        <f aca="false">0.6*AD212</f>
        <v>32.82</v>
      </c>
      <c r="AF212" s="33"/>
      <c r="AG212" s="33" t="n">
        <v>0.03</v>
      </c>
      <c r="AH212" s="33"/>
      <c r="AI212" s="33" t="n">
        <v>8.04</v>
      </c>
      <c r="AJ212" s="23" t="n">
        <v>16.1</v>
      </c>
      <c r="AK212" s="33" t="n">
        <v>54.7</v>
      </c>
      <c r="AL212" s="34" t="n">
        <f aca="false">0.6*AK212</f>
        <v>32.82</v>
      </c>
      <c r="AM212" s="33"/>
      <c r="AN212" s="33" t="n">
        <v>0.03</v>
      </c>
      <c r="AO212" s="2" t="n">
        <v>6.33</v>
      </c>
      <c r="AP212" s="23" t="n">
        <v>16.5</v>
      </c>
      <c r="AQ212" s="33" t="n">
        <v>188.6</v>
      </c>
      <c r="AR212" s="34" t="n">
        <f aca="false">0.55*AQ212</f>
        <v>103.73</v>
      </c>
      <c r="AS212" s="33" t="n">
        <v>0.04</v>
      </c>
      <c r="AT212" s="33" t="n">
        <v>7.1</v>
      </c>
      <c r="AU212" s="23" t="n">
        <v>16.6</v>
      </c>
      <c r="AV212" s="33" t="n">
        <v>284</v>
      </c>
      <c r="AW212" s="23"/>
      <c r="AX212" s="34" t="n">
        <v>1</v>
      </c>
      <c r="AY212" s="33" t="n">
        <v>0.03</v>
      </c>
    </row>
    <row r="213" customFormat="false" ht="15" hidden="false" customHeight="false" outlineLevel="0" collapsed="false">
      <c r="A213" s="16" t="s">
        <v>76</v>
      </c>
      <c r="B213" s="2" t="s">
        <v>52</v>
      </c>
      <c r="C213" s="29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P213" s="21"/>
      <c r="AQ213" s="21"/>
      <c r="AR213" s="21"/>
      <c r="AS213" s="21"/>
      <c r="AT213" s="33" t="n">
        <v>7.24</v>
      </c>
      <c r="AU213" s="23" t="n">
        <v>18</v>
      </c>
      <c r="AV213" s="33" t="n">
        <v>289</v>
      </c>
      <c r="AW213" s="33" t="n">
        <f aca="false">0.55*AV213</f>
        <v>158.95</v>
      </c>
      <c r="AX213" s="34" t="n">
        <v>1</v>
      </c>
      <c r="AY213" s="33" t="n">
        <v>0.08</v>
      </c>
    </row>
    <row r="214" customFormat="false" ht="15" hidden="false" customHeight="false" outlineLevel="0" collapsed="false">
      <c r="A214" s="16" t="s">
        <v>76</v>
      </c>
      <c r="B214" s="2" t="s">
        <v>57</v>
      </c>
      <c r="C214" s="32" t="n">
        <v>8.16</v>
      </c>
      <c r="D214" s="23" t="n">
        <v>17</v>
      </c>
      <c r="E214" s="33" t="n">
        <v>54.7</v>
      </c>
      <c r="F214" s="33" t="n">
        <f aca="false">0.6*E214</f>
        <v>32.82</v>
      </c>
      <c r="G214" s="33" t="n">
        <v>0.3</v>
      </c>
      <c r="H214" s="33" t="n">
        <v>8.09</v>
      </c>
      <c r="I214" s="23" t="n">
        <v>16.3</v>
      </c>
      <c r="J214" s="49"/>
      <c r="K214" s="49"/>
      <c r="L214" s="33" t="n">
        <v>1.19</v>
      </c>
      <c r="M214" s="33" t="n">
        <v>8.09</v>
      </c>
      <c r="N214" s="23" t="n">
        <v>16.2</v>
      </c>
      <c r="O214" s="49"/>
      <c r="P214" s="49"/>
      <c r="Q214" s="33" t="n">
        <v>1.09</v>
      </c>
      <c r="R214" s="34" t="n">
        <v>8.07</v>
      </c>
      <c r="S214" s="19" t="n">
        <v>16.4</v>
      </c>
      <c r="T214" s="49"/>
      <c r="U214" s="49"/>
      <c r="V214" s="34" t="n">
        <v>0.07</v>
      </c>
      <c r="W214" s="33" t="n">
        <v>8.07</v>
      </c>
      <c r="X214" s="23" t="n">
        <v>16.4</v>
      </c>
      <c r="Y214" s="49"/>
      <c r="Z214" s="49"/>
      <c r="AA214" s="33" t="n">
        <v>0.05</v>
      </c>
      <c r="AB214" s="33" t="n">
        <v>8.03</v>
      </c>
      <c r="AC214" s="23" t="n">
        <v>16.7</v>
      </c>
      <c r="AD214" s="33" t="n">
        <v>54.7</v>
      </c>
      <c r="AE214" s="33" t="n">
        <f aca="false">0.6*AD214</f>
        <v>32.82</v>
      </c>
      <c r="AF214" s="33"/>
      <c r="AG214" s="33" t="n">
        <v>0.03</v>
      </c>
      <c r="AH214" s="45"/>
      <c r="AI214" s="33" t="n">
        <v>8.03</v>
      </c>
      <c r="AJ214" s="23" t="n">
        <v>16.7</v>
      </c>
      <c r="AK214" s="33" t="n">
        <v>54.7</v>
      </c>
      <c r="AL214" s="33" t="n">
        <f aca="false">0.6*AK214</f>
        <v>32.82</v>
      </c>
      <c r="AM214" s="33"/>
      <c r="AN214" s="33" t="n">
        <v>0.03</v>
      </c>
      <c r="AO214" s="2" t="n">
        <v>6.41</v>
      </c>
      <c r="AP214" s="23" t="n">
        <v>16.8</v>
      </c>
      <c r="AQ214" s="33" t="n">
        <v>196.4</v>
      </c>
      <c r="AR214" s="33" t="n">
        <f aca="false">0.55*AQ214</f>
        <v>108.02</v>
      </c>
      <c r="AS214" s="33" t="n">
        <v>0.02</v>
      </c>
      <c r="AT214" s="33" t="n">
        <v>7.17</v>
      </c>
      <c r="AU214" s="23" t="n">
        <v>17</v>
      </c>
      <c r="AV214" s="33" t="n">
        <v>288</v>
      </c>
      <c r="AW214" s="33" t="n">
        <f aca="false">0.55*AV214</f>
        <v>158.4</v>
      </c>
      <c r="AX214" s="34"/>
      <c r="AY214" s="33" t="n">
        <v>0.04</v>
      </c>
    </row>
    <row r="215" customFormat="false" ht="15" hidden="false" customHeight="false" outlineLevel="0" collapsed="false">
      <c r="A215" s="16" t="s">
        <v>77</v>
      </c>
      <c r="B215" s="2" t="s">
        <v>51</v>
      </c>
      <c r="C215" s="32" t="n">
        <v>8.14</v>
      </c>
      <c r="D215" s="23" t="n">
        <v>16.3</v>
      </c>
      <c r="E215" s="33" t="n">
        <v>55</v>
      </c>
      <c r="F215" s="34" t="n">
        <f aca="false">0.6*E215</f>
        <v>33</v>
      </c>
      <c r="G215" s="33" t="n">
        <v>0.24</v>
      </c>
      <c r="H215" s="33" t="n">
        <v>8.09</v>
      </c>
      <c r="I215" s="23" t="n">
        <v>16</v>
      </c>
      <c r="J215" s="49"/>
      <c r="K215" s="37"/>
      <c r="L215" s="33" t="n">
        <v>1.12</v>
      </c>
      <c r="M215" s="33" t="n">
        <v>8.09</v>
      </c>
      <c r="N215" s="23" t="n">
        <v>15.9</v>
      </c>
      <c r="O215" s="49"/>
      <c r="P215" s="37"/>
      <c r="Q215" s="33" t="n">
        <v>1.28</v>
      </c>
      <c r="R215" s="33" t="n">
        <v>8.07</v>
      </c>
      <c r="S215" s="23" t="n">
        <v>16</v>
      </c>
      <c r="T215" s="49"/>
      <c r="U215" s="37"/>
      <c r="V215" s="33" t="n">
        <v>0.12</v>
      </c>
      <c r="W215" s="33" t="n">
        <v>8.07</v>
      </c>
      <c r="X215" s="23" t="n">
        <v>15.9</v>
      </c>
      <c r="Y215" s="49"/>
      <c r="Z215" s="37"/>
      <c r="AA215" s="33" t="n">
        <v>0.08</v>
      </c>
      <c r="AB215" s="33" t="n">
        <v>8.06</v>
      </c>
      <c r="AC215" s="23" t="n">
        <v>16.1</v>
      </c>
      <c r="AD215" s="33" t="n">
        <v>55</v>
      </c>
      <c r="AE215" s="34" t="n">
        <f aca="false">0.6*AD215</f>
        <v>33</v>
      </c>
      <c r="AF215" s="33"/>
      <c r="AG215" s="33" t="n">
        <v>0.09</v>
      </c>
      <c r="AH215" s="33"/>
      <c r="AI215" s="33" t="n">
        <v>8.06</v>
      </c>
      <c r="AJ215" s="23" t="n">
        <v>16.1</v>
      </c>
      <c r="AK215" s="33" t="n">
        <v>55</v>
      </c>
      <c r="AL215" s="34" t="n">
        <f aca="false">0.6*AK215</f>
        <v>33</v>
      </c>
      <c r="AM215" s="33"/>
      <c r="AN215" s="33" t="n">
        <v>0.09</v>
      </c>
      <c r="AO215" s="2" t="n">
        <v>6.3</v>
      </c>
      <c r="AP215" s="23" t="n">
        <v>16.5</v>
      </c>
      <c r="AQ215" s="33" t="n">
        <v>197.5</v>
      </c>
      <c r="AR215" s="34" t="n">
        <f aca="false">0.55*AQ215</f>
        <v>108.625</v>
      </c>
      <c r="AS215" s="33" t="n">
        <v>0.02</v>
      </c>
      <c r="AT215" s="33" t="n">
        <v>7.25</v>
      </c>
      <c r="AU215" s="23" t="n">
        <v>17</v>
      </c>
      <c r="AV215" s="33" t="n">
        <v>282</v>
      </c>
      <c r="AW215" s="23"/>
      <c r="AX215" s="34" t="n">
        <v>1</v>
      </c>
      <c r="AY215" s="33" t="n">
        <v>0.03</v>
      </c>
    </row>
    <row r="216" customFormat="false" ht="15" hidden="false" customHeight="false" outlineLevel="0" collapsed="false">
      <c r="A216" s="16" t="s">
        <v>77</v>
      </c>
      <c r="B216" s="2" t="s">
        <v>52</v>
      </c>
      <c r="C216" s="29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P216" s="21"/>
      <c r="AQ216" s="21"/>
      <c r="AR216" s="21"/>
      <c r="AS216" s="21"/>
      <c r="AT216" s="33" t="n">
        <v>7.27</v>
      </c>
      <c r="AU216" s="23" t="n">
        <v>17.2</v>
      </c>
      <c r="AV216" s="33" t="n">
        <v>284</v>
      </c>
      <c r="AW216" s="33" t="n">
        <f aca="false">0.55*AV216</f>
        <v>156.2</v>
      </c>
      <c r="AX216" s="34" t="n">
        <v>1</v>
      </c>
      <c r="AY216" s="33" t="n">
        <v>0.08</v>
      </c>
    </row>
    <row r="217" customFormat="false" ht="15" hidden="false" customHeight="false" outlineLevel="0" collapsed="false">
      <c r="A217" s="16" t="s">
        <v>77</v>
      </c>
      <c r="B217" s="2" t="s">
        <v>57</v>
      </c>
      <c r="C217" s="32" t="n">
        <v>8.15</v>
      </c>
      <c r="D217" s="23" t="n">
        <v>17.8</v>
      </c>
      <c r="E217" s="33" t="n">
        <v>54.6</v>
      </c>
      <c r="F217" s="33" t="n">
        <f aca="false">0.6*E217</f>
        <v>32.76</v>
      </c>
      <c r="G217" s="33" t="n">
        <v>0.56</v>
      </c>
      <c r="H217" s="33" t="n">
        <v>8.11</v>
      </c>
      <c r="I217" s="23" t="n">
        <v>16.9</v>
      </c>
      <c r="J217" s="49"/>
      <c r="K217" s="49"/>
      <c r="L217" s="33" t="n">
        <v>0.95</v>
      </c>
      <c r="M217" s="33" t="n">
        <v>8.11</v>
      </c>
      <c r="N217" s="23" t="n">
        <v>16.9</v>
      </c>
      <c r="O217" s="49"/>
      <c r="P217" s="49"/>
      <c r="Q217" s="33" t="n">
        <v>1.05</v>
      </c>
      <c r="R217" s="34" t="n">
        <v>8.09</v>
      </c>
      <c r="S217" s="19" t="n">
        <v>16.9</v>
      </c>
      <c r="T217" s="49"/>
      <c r="U217" s="49"/>
      <c r="V217" s="34" t="n">
        <v>0.06</v>
      </c>
      <c r="W217" s="33" t="n">
        <v>8.09</v>
      </c>
      <c r="X217" s="23" t="n">
        <v>16.9</v>
      </c>
      <c r="Y217" s="49"/>
      <c r="Z217" s="49"/>
      <c r="AA217" s="33" t="n">
        <v>0.06</v>
      </c>
      <c r="AB217" s="33" t="n">
        <v>8.05</v>
      </c>
      <c r="AC217" s="23" t="n">
        <v>16.4</v>
      </c>
      <c r="AD217" s="33" t="n">
        <v>54.8</v>
      </c>
      <c r="AE217" s="33" t="n">
        <f aca="false">0.6*AD217</f>
        <v>32.88</v>
      </c>
      <c r="AF217" s="33"/>
      <c r="AG217" s="33" t="n">
        <v>0.06</v>
      </c>
      <c r="AH217" s="45"/>
      <c r="AI217" s="33" t="n">
        <v>8.05</v>
      </c>
      <c r="AJ217" s="23" t="n">
        <v>16.4</v>
      </c>
      <c r="AK217" s="33" t="n">
        <v>55</v>
      </c>
      <c r="AL217" s="33" t="n">
        <f aca="false">0.6*AK217</f>
        <v>33</v>
      </c>
      <c r="AM217" s="33"/>
      <c r="AN217" s="33" t="n">
        <v>0.05</v>
      </c>
      <c r="AO217" s="2" t="n">
        <v>6.3</v>
      </c>
      <c r="AP217" s="23" t="n">
        <v>16.8</v>
      </c>
      <c r="AQ217" s="33" t="n">
        <v>183.5</v>
      </c>
      <c r="AR217" s="33" t="n">
        <f aca="false">0.55*AQ217</f>
        <v>100.925</v>
      </c>
      <c r="AS217" s="33" t="n">
        <v>0.04</v>
      </c>
      <c r="AT217" s="33" t="n">
        <v>7.1</v>
      </c>
      <c r="AU217" s="23" t="n">
        <v>17.1</v>
      </c>
      <c r="AV217" s="33" t="n">
        <v>282</v>
      </c>
      <c r="AW217" s="33" t="n">
        <f aca="false">0.55*AV217</f>
        <v>155.1</v>
      </c>
      <c r="AX217" s="34" t="n">
        <v>1</v>
      </c>
      <c r="AY217" s="33" t="n">
        <v>0.07</v>
      </c>
    </row>
    <row r="218" customFormat="false" ht="15" hidden="false" customHeight="false" outlineLevel="0" collapsed="false">
      <c r="A218" s="16" t="s">
        <v>78</v>
      </c>
      <c r="B218" s="2" t="s">
        <v>51</v>
      </c>
      <c r="C218" s="29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</row>
    <row r="219" customFormat="false" ht="15" hidden="false" customHeight="false" outlineLevel="0" collapsed="false">
      <c r="A219" s="16" t="s">
        <v>78</v>
      </c>
      <c r="B219" s="2" t="s">
        <v>52</v>
      </c>
      <c r="C219" s="29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</row>
    <row r="220" customFormat="false" ht="15" hidden="false" customHeight="false" outlineLevel="0" collapsed="false">
      <c r="A220" s="16" t="s">
        <v>78</v>
      </c>
      <c r="B220" s="2" t="s">
        <v>57</v>
      </c>
      <c r="C220" s="29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</row>
    <row r="221" customFormat="false" ht="15" hidden="false" customHeight="false" outlineLevel="0" collapsed="false">
      <c r="A221" s="16" t="s">
        <v>79</v>
      </c>
      <c r="B221" s="2" t="s">
        <v>51</v>
      </c>
      <c r="C221" s="32" t="n">
        <v>8.1</v>
      </c>
      <c r="D221" s="23" t="n">
        <v>17.2</v>
      </c>
      <c r="E221" s="33" t="n">
        <v>54.9</v>
      </c>
      <c r="F221" s="34" t="n">
        <f aca="false">0.6*E221</f>
        <v>32.94</v>
      </c>
      <c r="G221" s="33" t="n">
        <v>0.2</v>
      </c>
      <c r="H221" s="33" t="n">
        <v>8.05</v>
      </c>
      <c r="I221" s="23" t="n">
        <v>16.3</v>
      </c>
      <c r="J221" s="49"/>
      <c r="K221" s="37"/>
      <c r="L221" s="33" t="n">
        <v>0.81</v>
      </c>
      <c r="M221" s="33" t="n">
        <v>8.06</v>
      </c>
      <c r="N221" s="23" t="n">
        <v>16.1</v>
      </c>
      <c r="O221" s="49"/>
      <c r="P221" s="37"/>
      <c r="Q221" s="33" t="n">
        <v>0.71</v>
      </c>
      <c r="R221" s="33" t="n">
        <v>8.07</v>
      </c>
      <c r="S221" s="23" t="n">
        <v>16.2</v>
      </c>
      <c r="T221" s="49"/>
      <c r="U221" s="37"/>
      <c r="V221" s="33" t="n">
        <v>0.07</v>
      </c>
      <c r="W221" s="33" t="n">
        <v>8.07</v>
      </c>
      <c r="X221" s="23" t="n">
        <v>16.1</v>
      </c>
      <c r="Y221" s="49"/>
      <c r="Z221" s="37"/>
      <c r="AA221" s="33" t="n">
        <v>0.06</v>
      </c>
      <c r="AB221" s="33" t="n">
        <v>8</v>
      </c>
      <c r="AC221" s="23" t="n">
        <v>16.3</v>
      </c>
      <c r="AD221" s="33" t="n">
        <v>54.9</v>
      </c>
      <c r="AE221" s="34" t="n">
        <f aca="false">0.6*AD221</f>
        <v>32.94</v>
      </c>
      <c r="AF221" s="33"/>
      <c r="AG221" s="33" t="n">
        <v>0.07</v>
      </c>
      <c r="AH221" s="33"/>
      <c r="AI221" s="33" t="n">
        <v>8.01</v>
      </c>
      <c r="AJ221" s="23" t="n">
        <v>16.4</v>
      </c>
      <c r="AK221" s="33" t="n">
        <v>54.9</v>
      </c>
      <c r="AL221" s="34" t="n">
        <f aca="false">0.6*AK221</f>
        <v>32.94</v>
      </c>
      <c r="AM221" s="33"/>
      <c r="AN221" s="33" t="n">
        <v>0.04</v>
      </c>
      <c r="AO221" s="2" t="n">
        <v>6.24</v>
      </c>
      <c r="AP221" s="23" t="n">
        <v>16.8</v>
      </c>
      <c r="AQ221" s="33" t="n">
        <v>187.6</v>
      </c>
      <c r="AR221" s="34" t="n">
        <f aca="false">0.55*AQ221</f>
        <v>103.18</v>
      </c>
      <c r="AS221" s="33" t="n">
        <v>0.07</v>
      </c>
      <c r="AT221" s="33" t="n">
        <v>7.41</v>
      </c>
      <c r="AU221" s="23" t="n">
        <v>18</v>
      </c>
      <c r="AV221" s="33" t="n">
        <v>290</v>
      </c>
      <c r="AW221" s="23"/>
      <c r="AX221" s="34" t="n">
        <v>1</v>
      </c>
      <c r="AY221" s="33" t="n">
        <v>0.1</v>
      </c>
    </row>
    <row r="222" customFormat="false" ht="15" hidden="false" customHeight="false" outlineLevel="0" collapsed="false">
      <c r="A222" s="16" t="s">
        <v>79</v>
      </c>
      <c r="B222" s="2" t="s">
        <v>52</v>
      </c>
      <c r="C222" s="29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P222" s="21"/>
      <c r="AQ222" s="21"/>
      <c r="AR222" s="21"/>
      <c r="AS222" s="21"/>
      <c r="AT222" s="33" t="n">
        <v>7.2</v>
      </c>
      <c r="AU222" s="23" t="n">
        <v>18</v>
      </c>
      <c r="AV222" s="33" t="n">
        <v>320</v>
      </c>
      <c r="AW222" s="33" t="n">
        <f aca="false">0.55*AV222</f>
        <v>176</v>
      </c>
      <c r="AX222" s="34" t="n">
        <v>1</v>
      </c>
      <c r="AY222" s="33" t="n">
        <v>0.1</v>
      </c>
    </row>
    <row r="223" customFormat="false" ht="15" hidden="false" customHeight="false" outlineLevel="0" collapsed="false">
      <c r="A223" s="16" t="s">
        <v>79</v>
      </c>
      <c r="B223" s="2" t="s">
        <v>57</v>
      </c>
      <c r="C223" s="32" t="n">
        <v>8.14</v>
      </c>
      <c r="D223" s="23" t="n">
        <v>17.8</v>
      </c>
      <c r="E223" s="33" t="n">
        <v>55</v>
      </c>
      <c r="F223" s="33" t="n">
        <f aca="false">0.6*E223</f>
        <v>33</v>
      </c>
      <c r="G223" s="33" t="n">
        <v>0.13</v>
      </c>
      <c r="H223" s="33" t="n">
        <v>8.08</v>
      </c>
      <c r="I223" s="23" t="n">
        <v>16.6</v>
      </c>
      <c r="J223" s="49"/>
      <c r="K223" s="49"/>
      <c r="L223" s="33" t="n">
        <v>0.81</v>
      </c>
      <c r="M223" s="33" t="n">
        <v>8.07</v>
      </c>
      <c r="N223" s="23" t="n">
        <v>16.6</v>
      </c>
      <c r="O223" s="49"/>
      <c r="P223" s="49"/>
      <c r="Q223" s="33" t="n">
        <v>0.77</v>
      </c>
      <c r="R223" s="34" t="n">
        <v>8.06</v>
      </c>
      <c r="S223" s="19" t="n">
        <v>16.7</v>
      </c>
      <c r="T223" s="49"/>
      <c r="U223" s="49"/>
      <c r="V223" s="34" t="n">
        <v>0</v>
      </c>
      <c r="W223" s="33" t="n">
        <v>8.05</v>
      </c>
      <c r="X223" s="23" t="n">
        <v>16.7</v>
      </c>
      <c r="Y223" s="49"/>
      <c r="Z223" s="49"/>
      <c r="AA223" s="33" t="n">
        <v>0</v>
      </c>
      <c r="AB223" s="33" t="n">
        <v>8.01</v>
      </c>
      <c r="AC223" s="23" t="n">
        <v>16.6</v>
      </c>
      <c r="AD223" s="33" t="n">
        <v>54.9</v>
      </c>
      <c r="AE223" s="33" t="n">
        <f aca="false">0.6*AD223</f>
        <v>32.94</v>
      </c>
      <c r="AF223" s="33"/>
      <c r="AG223" s="33" t="n">
        <v>0</v>
      </c>
      <c r="AH223" s="45"/>
      <c r="AI223" s="33" t="n">
        <v>8.02</v>
      </c>
      <c r="AJ223" s="23" t="n">
        <v>16.6</v>
      </c>
      <c r="AK223" s="33" t="n">
        <v>54.9</v>
      </c>
      <c r="AL223" s="33" t="n">
        <f aca="false">0.6*AK223</f>
        <v>32.94</v>
      </c>
      <c r="AM223" s="33"/>
      <c r="AN223" s="33" t="n">
        <v>0</v>
      </c>
      <c r="AO223" s="2" t="n">
        <v>6.16</v>
      </c>
      <c r="AP223" s="23" t="n">
        <v>16.6</v>
      </c>
      <c r="AQ223" s="33" t="n">
        <v>205</v>
      </c>
      <c r="AR223" s="33" t="n">
        <f aca="false">0.55*AQ223</f>
        <v>112.75</v>
      </c>
      <c r="AS223" s="33" t="n">
        <v>0</v>
      </c>
      <c r="AT223" s="33" t="n">
        <v>7.3</v>
      </c>
      <c r="AU223" s="23" t="n">
        <v>18</v>
      </c>
      <c r="AV223" s="33" t="n">
        <v>320</v>
      </c>
      <c r="AW223" s="33" t="n">
        <f aca="false">0.55*AV223</f>
        <v>176</v>
      </c>
      <c r="AX223" s="34" t="n">
        <v>1</v>
      </c>
      <c r="AY223" s="33" t="n">
        <v>0.08</v>
      </c>
    </row>
    <row r="224" customFormat="false" ht="15" hidden="false" customHeight="false" outlineLevel="0" collapsed="false">
      <c r="A224" s="16" t="s">
        <v>80</v>
      </c>
      <c r="B224" s="2" t="s">
        <v>51</v>
      </c>
      <c r="C224" s="32" t="n">
        <v>8.16</v>
      </c>
      <c r="D224" s="23" t="n">
        <v>17.5</v>
      </c>
      <c r="E224" s="33" t="n">
        <v>54.7</v>
      </c>
      <c r="F224" s="34" t="n">
        <f aca="false">0.6*E224</f>
        <v>32.82</v>
      </c>
      <c r="G224" s="33" t="n">
        <v>0.15</v>
      </c>
      <c r="H224" s="33" t="n">
        <v>8.06</v>
      </c>
      <c r="I224" s="23" t="n">
        <v>16.5</v>
      </c>
      <c r="J224" s="49"/>
      <c r="K224" s="37"/>
      <c r="L224" s="33" t="n">
        <v>0.77</v>
      </c>
      <c r="M224" s="33" t="n">
        <v>8.06</v>
      </c>
      <c r="N224" s="23" t="n">
        <v>16.4</v>
      </c>
      <c r="O224" s="49"/>
      <c r="P224" s="37"/>
      <c r="Q224" s="33" t="n">
        <v>0.76</v>
      </c>
      <c r="R224" s="33" t="n">
        <v>8.04</v>
      </c>
      <c r="S224" s="23" t="n">
        <v>16.6</v>
      </c>
      <c r="T224" s="49"/>
      <c r="U224" s="37"/>
      <c r="V224" s="33" t="n">
        <v>0.06</v>
      </c>
      <c r="W224" s="33" t="n">
        <v>8.04</v>
      </c>
      <c r="X224" s="23" t="n">
        <v>16.4</v>
      </c>
      <c r="Y224" s="49"/>
      <c r="Z224" s="37"/>
      <c r="AA224" s="33" t="n">
        <v>0.05</v>
      </c>
      <c r="AB224" s="33" t="n">
        <v>8.02</v>
      </c>
      <c r="AC224" s="23" t="n">
        <v>16.5</v>
      </c>
      <c r="AD224" s="33" t="n">
        <v>54.7</v>
      </c>
      <c r="AE224" s="34" t="n">
        <f aca="false">0.6*AD224</f>
        <v>32.82</v>
      </c>
      <c r="AF224" s="33"/>
      <c r="AG224" s="33" t="n">
        <v>0.05</v>
      </c>
      <c r="AH224" s="33"/>
      <c r="AI224" s="33" t="n">
        <v>8.02</v>
      </c>
      <c r="AJ224" s="23" t="n">
        <v>16.5</v>
      </c>
      <c r="AK224" s="33" t="n">
        <v>54.7</v>
      </c>
      <c r="AL224" s="34" t="n">
        <f aca="false">0.6*AK224</f>
        <v>32.82</v>
      </c>
      <c r="AM224" s="33"/>
      <c r="AN224" s="33" t="n">
        <v>0.07</v>
      </c>
      <c r="AO224" s="2" t="n">
        <v>5.92</v>
      </c>
      <c r="AP224" s="23" t="n">
        <v>17</v>
      </c>
      <c r="AQ224" s="33" t="n">
        <v>204</v>
      </c>
      <c r="AR224" s="34" t="n">
        <f aca="false">0.55*AQ224</f>
        <v>112.2</v>
      </c>
      <c r="AS224" s="33" t="n">
        <v>0.07</v>
      </c>
      <c r="AT224" s="33" t="n">
        <v>7.14</v>
      </c>
      <c r="AU224" s="23" t="n">
        <v>18</v>
      </c>
      <c r="AV224" s="33" t="n">
        <v>300</v>
      </c>
      <c r="AW224" s="23"/>
      <c r="AX224" s="34" t="n">
        <v>1</v>
      </c>
      <c r="AY224" s="33" t="n">
        <v>0.12</v>
      </c>
    </row>
    <row r="225" customFormat="false" ht="15" hidden="false" customHeight="false" outlineLevel="0" collapsed="false">
      <c r="A225" s="16" t="s">
        <v>80</v>
      </c>
      <c r="B225" s="2" t="s">
        <v>52</v>
      </c>
      <c r="C225" s="29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P225" s="21"/>
      <c r="AQ225" s="21"/>
      <c r="AR225" s="21"/>
      <c r="AS225" s="21"/>
      <c r="AT225" s="33" t="n">
        <v>7.13</v>
      </c>
      <c r="AU225" s="23" t="n">
        <v>18</v>
      </c>
      <c r="AV225" s="33" t="n">
        <v>298</v>
      </c>
      <c r="AW225" s="33" t="n">
        <f aca="false">0.55*AV225</f>
        <v>163.9</v>
      </c>
      <c r="AX225" s="34" t="n">
        <v>1</v>
      </c>
      <c r="AY225" s="33" t="n">
        <v>0.04</v>
      </c>
    </row>
    <row r="226" customFormat="false" ht="15" hidden="false" customHeight="false" outlineLevel="0" collapsed="false">
      <c r="A226" s="16" t="s">
        <v>80</v>
      </c>
      <c r="B226" s="2" t="s">
        <v>57</v>
      </c>
      <c r="C226" s="32" t="n">
        <v>8.13</v>
      </c>
      <c r="D226" s="23" t="n">
        <v>18.1</v>
      </c>
      <c r="E226" s="33" t="n">
        <v>54.7</v>
      </c>
      <c r="F226" s="33" t="n">
        <f aca="false">E226*0.6</f>
        <v>32.82</v>
      </c>
      <c r="G226" s="33" t="n">
        <v>0.24</v>
      </c>
      <c r="H226" s="33" t="n">
        <v>8.08</v>
      </c>
      <c r="I226" s="23" t="n">
        <v>17.3</v>
      </c>
      <c r="J226" s="49"/>
      <c r="K226" s="49"/>
      <c r="L226" s="33" t="n">
        <v>0.73</v>
      </c>
      <c r="M226" s="33" t="n">
        <v>8.08</v>
      </c>
      <c r="N226" s="23" t="n">
        <v>17.3</v>
      </c>
      <c r="O226" s="49"/>
      <c r="P226" s="49"/>
      <c r="Q226" s="33" t="n">
        <v>0.75</v>
      </c>
      <c r="R226" s="34" t="n">
        <v>8.06</v>
      </c>
      <c r="S226" s="19" t="n">
        <v>17.3</v>
      </c>
      <c r="T226" s="49"/>
      <c r="U226" s="49"/>
      <c r="V226" s="34" t="n">
        <v>0.07</v>
      </c>
      <c r="W226" s="33" t="n">
        <v>8.06</v>
      </c>
      <c r="X226" s="23" t="n">
        <v>17.3</v>
      </c>
      <c r="Y226" s="49"/>
      <c r="Z226" s="49"/>
      <c r="AA226" s="33" t="n">
        <v>0.08</v>
      </c>
      <c r="AB226" s="33" t="n">
        <v>8.04</v>
      </c>
      <c r="AC226" s="23" t="n">
        <v>17.3</v>
      </c>
      <c r="AD226" s="33" t="n">
        <v>54.7</v>
      </c>
      <c r="AE226" s="33" t="n">
        <f aca="false">AD226*0.6</f>
        <v>32.82</v>
      </c>
      <c r="AF226" s="33"/>
      <c r="AG226" s="33" t="n">
        <v>0.08</v>
      </c>
      <c r="AH226" s="45"/>
      <c r="AI226" s="33" t="n">
        <v>8.04</v>
      </c>
      <c r="AJ226" s="23" t="n">
        <v>17.1</v>
      </c>
      <c r="AK226" s="33" t="n">
        <v>54.7</v>
      </c>
      <c r="AL226" s="33" t="n">
        <f aca="false">AK226*0.6</f>
        <v>32.82</v>
      </c>
      <c r="AM226" s="33"/>
      <c r="AN226" s="33" t="n">
        <v>0.05</v>
      </c>
      <c r="AO226" s="2" t="n">
        <v>6.26</v>
      </c>
      <c r="AP226" s="23" t="n">
        <v>17.7</v>
      </c>
      <c r="AQ226" s="33" t="n">
        <v>208</v>
      </c>
      <c r="AR226" s="33" t="n">
        <f aca="false">AQ226*0.55</f>
        <v>114.4</v>
      </c>
      <c r="AS226" s="33" t="n">
        <v>0.09</v>
      </c>
      <c r="AT226" s="33" t="n">
        <v>7.13</v>
      </c>
      <c r="AU226" s="23" t="n">
        <v>18.5</v>
      </c>
      <c r="AV226" s="33" t="n">
        <v>292</v>
      </c>
      <c r="AW226" s="33" t="n">
        <f aca="false">0.55*AV226</f>
        <v>160.6</v>
      </c>
      <c r="AX226" s="34" t="n">
        <v>1</v>
      </c>
      <c r="AY226" s="33" t="n">
        <v>0.13</v>
      </c>
    </row>
    <row r="227" customFormat="false" ht="15" hidden="false" customHeight="false" outlineLevel="0" collapsed="false">
      <c r="A227" s="16" t="s">
        <v>81</v>
      </c>
      <c r="B227" s="2" t="s">
        <v>51</v>
      </c>
      <c r="C227" s="32" t="n">
        <v>8.13</v>
      </c>
      <c r="D227" s="23" t="n">
        <v>18.3</v>
      </c>
      <c r="E227" s="33" t="n">
        <v>54.7</v>
      </c>
      <c r="F227" s="34" t="n">
        <f aca="false">0.6*E227</f>
        <v>32.82</v>
      </c>
      <c r="G227" s="33" t="n">
        <v>0.31</v>
      </c>
      <c r="H227" s="33" t="n">
        <v>8.09</v>
      </c>
      <c r="I227" s="23" t="n">
        <v>16.7</v>
      </c>
      <c r="J227" s="49"/>
      <c r="K227" s="37"/>
      <c r="L227" s="33" t="n">
        <v>0.74</v>
      </c>
      <c r="M227" s="33" t="n">
        <v>8.09</v>
      </c>
      <c r="N227" s="23" t="n">
        <v>16.7</v>
      </c>
      <c r="O227" s="49"/>
      <c r="P227" s="37"/>
      <c r="Q227" s="33" t="n">
        <v>0.72</v>
      </c>
      <c r="R227" s="33" t="n">
        <v>8.06</v>
      </c>
      <c r="S227" s="23" t="n">
        <v>16.6</v>
      </c>
      <c r="T227" s="49"/>
      <c r="U227" s="37"/>
      <c r="V227" s="33" t="n">
        <v>0.16</v>
      </c>
      <c r="W227" s="33" t="n">
        <v>8.06</v>
      </c>
      <c r="X227" s="23" t="n">
        <v>16.6</v>
      </c>
      <c r="Y227" s="49"/>
      <c r="Z227" s="37"/>
      <c r="AA227" s="33" t="n">
        <v>0.11</v>
      </c>
      <c r="AB227" s="33" t="n">
        <v>8.04</v>
      </c>
      <c r="AC227" s="23" t="n">
        <v>16.5</v>
      </c>
      <c r="AD227" s="33" t="n">
        <v>54.7</v>
      </c>
      <c r="AE227" s="34" t="n">
        <f aca="false">0.6*AD227</f>
        <v>32.82</v>
      </c>
      <c r="AF227" s="33"/>
      <c r="AG227" s="33" t="n">
        <v>0.13</v>
      </c>
      <c r="AH227" s="33"/>
      <c r="AI227" s="33" t="n">
        <v>8.04</v>
      </c>
      <c r="AJ227" s="23" t="n">
        <v>16.5</v>
      </c>
      <c r="AK227" s="33" t="n">
        <v>54.7</v>
      </c>
      <c r="AL227" s="34" t="n">
        <f aca="false">0.6*AK227</f>
        <v>32.82</v>
      </c>
      <c r="AM227" s="33"/>
      <c r="AN227" s="33" t="n">
        <v>0.1</v>
      </c>
      <c r="AO227" s="2" t="n">
        <v>6.22</v>
      </c>
      <c r="AP227" s="23" t="n">
        <v>17.1</v>
      </c>
      <c r="AQ227" s="33" t="n">
        <v>189.9</v>
      </c>
      <c r="AR227" s="34" t="n">
        <f aca="false">0.55*AQ227</f>
        <v>104.445</v>
      </c>
      <c r="AS227" s="33" t="n">
        <v>0.11</v>
      </c>
      <c r="AT227" s="33" t="n">
        <v>7</v>
      </c>
      <c r="AU227" s="23" t="n">
        <v>17.7</v>
      </c>
      <c r="AV227" s="33" t="n">
        <v>288</v>
      </c>
      <c r="AW227" s="23"/>
      <c r="AX227" s="34" t="n">
        <v>1</v>
      </c>
      <c r="AY227" s="33" t="n">
        <v>0.17</v>
      </c>
    </row>
    <row r="228" customFormat="false" ht="15" hidden="false" customHeight="false" outlineLevel="0" collapsed="false">
      <c r="A228" s="16" t="s">
        <v>81</v>
      </c>
      <c r="B228" s="2" t="s">
        <v>52</v>
      </c>
      <c r="C228" s="29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P228" s="21"/>
      <c r="AQ228" s="21"/>
      <c r="AR228" s="21"/>
      <c r="AS228" s="21"/>
      <c r="AT228" s="33" t="n">
        <v>6.98</v>
      </c>
      <c r="AU228" s="23" t="n">
        <v>18.2</v>
      </c>
      <c r="AV228" s="33" t="n">
        <v>288</v>
      </c>
      <c r="AW228" s="33" t="n">
        <f aca="false">0.55*AV228</f>
        <v>158.4</v>
      </c>
      <c r="AX228" s="34" t="n">
        <v>1</v>
      </c>
      <c r="AY228" s="33" t="n">
        <v>0.17</v>
      </c>
    </row>
    <row r="229" customFormat="false" ht="15" hidden="false" customHeight="false" outlineLevel="0" collapsed="false">
      <c r="A229" s="16" t="s">
        <v>81</v>
      </c>
      <c r="B229" s="2" t="s">
        <v>57</v>
      </c>
      <c r="C229" s="32" t="n">
        <v>8.1</v>
      </c>
      <c r="D229" s="23" t="n">
        <v>19.6</v>
      </c>
      <c r="E229" s="33" t="n">
        <v>54.7</v>
      </c>
      <c r="F229" s="33" t="n">
        <f aca="false">0.6*E229</f>
        <v>32.82</v>
      </c>
      <c r="G229" s="33" t="n">
        <v>0.35</v>
      </c>
      <c r="H229" s="33" t="n">
        <v>8.08</v>
      </c>
      <c r="I229" s="23" t="n">
        <v>17.1</v>
      </c>
      <c r="J229" s="49"/>
      <c r="K229" s="37"/>
      <c r="L229" s="33" t="n">
        <v>0.64</v>
      </c>
      <c r="M229" s="33" t="n">
        <v>8.08</v>
      </c>
      <c r="N229" s="23" t="n">
        <v>17</v>
      </c>
      <c r="O229" s="49"/>
      <c r="P229" s="37"/>
      <c r="Q229" s="33" t="n">
        <v>0.53</v>
      </c>
      <c r="R229" s="34" t="n">
        <v>8.06</v>
      </c>
      <c r="S229" s="19" t="n">
        <v>17.1</v>
      </c>
      <c r="T229" s="49"/>
      <c r="U229" s="37"/>
      <c r="V229" s="34" t="n">
        <v>0</v>
      </c>
      <c r="W229" s="33" t="n">
        <v>8.06</v>
      </c>
      <c r="X229" s="23" t="n">
        <v>17</v>
      </c>
      <c r="Y229" s="49"/>
      <c r="Z229" s="37"/>
      <c r="AA229" s="34" t="n">
        <v>0</v>
      </c>
      <c r="AB229" s="33" t="n">
        <v>8.05</v>
      </c>
      <c r="AC229" s="23" t="n">
        <v>17.3</v>
      </c>
      <c r="AD229" s="33" t="n">
        <v>54.6</v>
      </c>
      <c r="AE229" s="33" t="n">
        <f aca="false">0.6*AD229</f>
        <v>32.76</v>
      </c>
      <c r="AF229" s="33"/>
      <c r="AG229" s="34" t="n">
        <v>0</v>
      </c>
      <c r="AH229" s="45"/>
      <c r="AI229" s="33" t="n">
        <v>8.05</v>
      </c>
      <c r="AJ229" s="23" t="n">
        <v>17.3</v>
      </c>
      <c r="AK229" s="33" t="n">
        <v>54.6</v>
      </c>
      <c r="AL229" s="33" t="n">
        <f aca="false">0.6*AK229</f>
        <v>32.76</v>
      </c>
      <c r="AM229" s="33"/>
      <c r="AN229" s="34" t="n">
        <v>0</v>
      </c>
      <c r="AO229" s="2" t="n">
        <v>6.12</v>
      </c>
      <c r="AP229" s="23" t="n">
        <v>18.3</v>
      </c>
      <c r="AQ229" s="33" t="n">
        <v>205</v>
      </c>
      <c r="AR229" s="33" t="n">
        <f aca="false">AQ229*0.55</f>
        <v>112.75</v>
      </c>
      <c r="AS229" s="34" t="n">
        <v>0</v>
      </c>
      <c r="AT229" s="33" t="n">
        <v>7.2</v>
      </c>
      <c r="AU229" s="23" t="n">
        <v>18.6</v>
      </c>
      <c r="AV229" s="33" t="n">
        <v>292</v>
      </c>
      <c r="AW229" s="33" t="n">
        <f aca="false">AV229*0.55</f>
        <v>160.6</v>
      </c>
      <c r="AX229" s="34" t="n">
        <v>1</v>
      </c>
      <c r="AY229" s="34" t="n">
        <v>0</v>
      </c>
    </row>
    <row r="230" customFormat="false" ht="15" hidden="false" customHeight="false" outlineLevel="0" collapsed="false">
      <c r="A230" s="16" t="s">
        <v>82</v>
      </c>
      <c r="B230" s="2" t="s">
        <v>51</v>
      </c>
      <c r="C230" s="32" t="n">
        <v>8.13</v>
      </c>
      <c r="D230" s="23" t="n">
        <v>17.6</v>
      </c>
      <c r="E230" s="33" t="n">
        <v>54.5</v>
      </c>
      <c r="F230" s="34" t="n">
        <f aca="false">0.6*E230</f>
        <v>32.7</v>
      </c>
      <c r="G230" s="33" t="n">
        <v>0.12</v>
      </c>
      <c r="H230" s="33" t="n">
        <v>8.06</v>
      </c>
      <c r="I230" s="23" t="n">
        <v>17</v>
      </c>
      <c r="J230" s="49"/>
      <c r="K230" s="37"/>
      <c r="L230" s="33" t="n">
        <v>0.8</v>
      </c>
      <c r="M230" s="33" t="n">
        <v>8.06</v>
      </c>
      <c r="N230" s="23" t="n">
        <v>17</v>
      </c>
      <c r="O230" s="49"/>
      <c r="P230" s="37"/>
      <c r="Q230" s="33" t="n">
        <v>0.79</v>
      </c>
      <c r="R230" s="33" t="n">
        <v>8.04</v>
      </c>
      <c r="S230" s="23" t="n">
        <v>17</v>
      </c>
      <c r="T230" s="49"/>
      <c r="U230" s="37"/>
      <c r="V230" s="34" t="n">
        <v>0</v>
      </c>
      <c r="W230" s="33" t="n">
        <v>8.04</v>
      </c>
      <c r="X230" s="23" t="n">
        <v>16.9</v>
      </c>
      <c r="Y230" s="49"/>
      <c r="Z230" s="37"/>
      <c r="AA230" s="34" t="n">
        <v>0</v>
      </c>
      <c r="AB230" s="33" t="n">
        <v>8.01</v>
      </c>
      <c r="AC230" s="23" t="n">
        <v>17.1</v>
      </c>
      <c r="AD230" s="33" t="n">
        <v>54.5</v>
      </c>
      <c r="AE230" s="34" t="n">
        <f aca="false">0.6*AD230</f>
        <v>32.7</v>
      </c>
      <c r="AF230" s="33"/>
      <c r="AG230" s="34" t="n">
        <v>0</v>
      </c>
      <c r="AH230" s="33"/>
      <c r="AI230" s="33" t="n">
        <v>8.01</v>
      </c>
      <c r="AJ230" s="23" t="n">
        <v>17.2</v>
      </c>
      <c r="AK230" s="33" t="n">
        <v>54.5</v>
      </c>
      <c r="AL230" s="34" t="n">
        <f aca="false">0.6*AK230</f>
        <v>32.7</v>
      </c>
      <c r="AM230" s="33"/>
      <c r="AN230" s="34" t="n">
        <v>0</v>
      </c>
      <c r="AO230" s="2" t="n">
        <v>6.09</v>
      </c>
      <c r="AP230" s="23" t="n">
        <v>17.5</v>
      </c>
      <c r="AQ230" s="33" t="n">
        <v>207</v>
      </c>
      <c r="AR230" s="34" t="n">
        <f aca="false">0.55*AQ230</f>
        <v>113.85</v>
      </c>
      <c r="AS230" s="34" t="n">
        <v>0</v>
      </c>
      <c r="AT230" s="33" t="n">
        <v>7.6</v>
      </c>
      <c r="AU230" s="23" t="n">
        <v>18</v>
      </c>
      <c r="AV230" s="33" t="n">
        <v>302</v>
      </c>
      <c r="AW230" s="23"/>
      <c r="AX230" s="34" t="n">
        <v>1</v>
      </c>
      <c r="AY230" s="34" t="n">
        <v>0.12</v>
      </c>
    </row>
    <row r="231" customFormat="false" ht="15" hidden="false" customHeight="false" outlineLevel="0" collapsed="false">
      <c r="A231" s="16" t="s">
        <v>82</v>
      </c>
      <c r="B231" s="2" t="s">
        <v>52</v>
      </c>
      <c r="C231" s="29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P231" s="21"/>
      <c r="AQ231" s="21"/>
      <c r="AR231" s="21"/>
      <c r="AS231" s="21"/>
      <c r="AT231" s="33" t="n">
        <v>7.8</v>
      </c>
      <c r="AU231" s="23" t="n">
        <v>18.2</v>
      </c>
      <c r="AV231" s="33" t="n">
        <v>292</v>
      </c>
      <c r="AW231" s="33" t="n">
        <f aca="false">0.55*AV231</f>
        <v>160.6</v>
      </c>
      <c r="AX231" s="34"/>
      <c r="AY231" s="33" t="n">
        <v>0.07</v>
      </c>
    </row>
    <row r="232" customFormat="false" ht="15" hidden="false" customHeight="false" outlineLevel="0" collapsed="false">
      <c r="A232" s="16" t="s">
        <v>82</v>
      </c>
      <c r="B232" s="2" t="s">
        <v>57</v>
      </c>
      <c r="C232" s="32" t="n">
        <v>8.14</v>
      </c>
      <c r="D232" s="23" t="n">
        <v>18.5</v>
      </c>
      <c r="E232" s="33" t="n">
        <v>54.5</v>
      </c>
      <c r="F232" s="34" t="n">
        <f aca="false">0.6*E232</f>
        <v>32.7</v>
      </c>
      <c r="G232" s="33" t="n">
        <v>0.36</v>
      </c>
      <c r="H232" s="33" t="n">
        <v>8.08</v>
      </c>
      <c r="I232" s="23" t="n">
        <v>17.7</v>
      </c>
      <c r="J232" s="49"/>
      <c r="K232" s="49"/>
      <c r="L232" s="33" t="n">
        <v>0.65</v>
      </c>
      <c r="M232" s="33" t="n">
        <v>8.08</v>
      </c>
      <c r="N232" s="23" t="n">
        <v>17.7</v>
      </c>
      <c r="O232" s="49"/>
      <c r="P232" s="49"/>
      <c r="Q232" s="33" t="n">
        <v>0.75</v>
      </c>
      <c r="R232" s="34" t="n">
        <v>8.05</v>
      </c>
      <c r="S232" s="19" t="n">
        <v>17.4</v>
      </c>
      <c r="T232" s="49"/>
      <c r="U232" s="49"/>
      <c r="V232" s="34" t="n">
        <v>0.04</v>
      </c>
      <c r="W232" s="33" t="n">
        <v>8.05</v>
      </c>
      <c r="X232" s="23" t="n">
        <v>17.4</v>
      </c>
      <c r="Y232" s="49"/>
      <c r="Z232" s="49"/>
      <c r="AA232" s="33" t="n">
        <v>0.08</v>
      </c>
      <c r="AB232" s="33" t="n">
        <v>8.01</v>
      </c>
      <c r="AC232" s="23" t="n">
        <v>17.4</v>
      </c>
      <c r="AD232" s="33" t="n">
        <v>54.5</v>
      </c>
      <c r="AE232" s="34" t="n">
        <f aca="false">0.6*AD232</f>
        <v>32.7</v>
      </c>
      <c r="AF232" s="33"/>
      <c r="AG232" s="33" t="n">
        <v>0.02</v>
      </c>
      <c r="AH232" s="45"/>
      <c r="AI232" s="33" t="n">
        <v>8.01</v>
      </c>
      <c r="AJ232" s="23" t="n">
        <v>17.4</v>
      </c>
      <c r="AK232" s="33" t="n">
        <v>54.5</v>
      </c>
      <c r="AL232" s="34" t="n">
        <f aca="false">0.6*AK232</f>
        <v>32.7</v>
      </c>
      <c r="AM232" s="33"/>
      <c r="AN232" s="33" t="n">
        <v>0.04</v>
      </c>
      <c r="AO232" s="2" t="n">
        <v>6.13</v>
      </c>
      <c r="AP232" s="23" t="n">
        <v>17.9</v>
      </c>
      <c r="AQ232" s="33" t="n">
        <v>188.3</v>
      </c>
      <c r="AR232" s="34" t="n">
        <f aca="false">0.55*AQ232</f>
        <v>103.565</v>
      </c>
      <c r="AS232" s="33" t="n">
        <v>0.02</v>
      </c>
      <c r="AT232" s="33" t="n">
        <v>7.11</v>
      </c>
      <c r="AU232" s="23" t="n">
        <v>18.6</v>
      </c>
      <c r="AV232" s="33" t="n">
        <v>293</v>
      </c>
      <c r="AW232" s="34" t="n">
        <f aca="false">0.55*AV232</f>
        <v>161.15</v>
      </c>
      <c r="AX232" s="34" t="n">
        <v>1</v>
      </c>
      <c r="AY232" s="33" t="n">
        <v>0.1</v>
      </c>
    </row>
    <row r="233" customFormat="false" ht="15" hidden="false" customHeight="false" outlineLevel="0" collapsed="false">
      <c r="A233" s="16" t="s">
        <v>83</v>
      </c>
      <c r="B233" s="2" t="s">
        <v>51</v>
      </c>
      <c r="C233" s="32" t="n">
        <v>8.14</v>
      </c>
      <c r="D233" s="23" t="n">
        <v>18.7</v>
      </c>
      <c r="E233" s="33" t="n">
        <v>54.8</v>
      </c>
      <c r="F233" s="34" t="n">
        <f aca="false">0.6*E233</f>
        <v>32.88</v>
      </c>
      <c r="G233" s="33" t="n">
        <v>0.27</v>
      </c>
      <c r="H233" s="33" t="n">
        <v>8.05</v>
      </c>
      <c r="I233" s="23" t="n">
        <v>16.9</v>
      </c>
      <c r="J233" s="49"/>
      <c r="K233" s="37"/>
      <c r="L233" s="33" t="n">
        <v>0.94</v>
      </c>
      <c r="M233" s="33" t="n">
        <v>8.05</v>
      </c>
      <c r="N233" s="23" t="n">
        <v>16.8</v>
      </c>
      <c r="O233" s="49"/>
      <c r="P233" s="37"/>
      <c r="Q233" s="33" t="n">
        <v>0.86</v>
      </c>
      <c r="R233" s="33" t="n">
        <v>8.03</v>
      </c>
      <c r="S233" s="23" t="n">
        <v>16.9</v>
      </c>
      <c r="T233" s="49"/>
      <c r="U233" s="37"/>
      <c r="V233" s="34" t="n">
        <v>0.2</v>
      </c>
      <c r="W233" s="33" t="n">
        <v>8.04</v>
      </c>
      <c r="X233" s="23" t="n">
        <v>16.8</v>
      </c>
      <c r="Y233" s="49"/>
      <c r="Z233" s="37"/>
      <c r="AA233" s="34" t="n">
        <v>0.15</v>
      </c>
      <c r="AB233" s="33" t="n">
        <v>8</v>
      </c>
      <c r="AC233" s="23" t="n">
        <v>17</v>
      </c>
      <c r="AD233" s="33" t="n">
        <v>54.4</v>
      </c>
      <c r="AE233" s="34" t="n">
        <f aca="false">0.6*AD233</f>
        <v>32.64</v>
      </c>
      <c r="AF233" s="33"/>
      <c r="AG233" s="34" t="n">
        <v>0.19</v>
      </c>
      <c r="AH233" s="33"/>
      <c r="AI233" s="33" t="n">
        <v>8.01</v>
      </c>
      <c r="AJ233" s="23" t="n">
        <v>17</v>
      </c>
      <c r="AK233" s="33" t="n">
        <v>54.4</v>
      </c>
      <c r="AL233" s="34" t="n">
        <f aca="false">0.6*AK233</f>
        <v>32.64</v>
      </c>
      <c r="AM233" s="33"/>
      <c r="AN233" s="34" t="n">
        <v>0.15</v>
      </c>
      <c r="AO233" s="2" t="n">
        <v>6.15</v>
      </c>
      <c r="AP233" s="23" t="n">
        <v>17.6</v>
      </c>
      <c r="AQ233" s="33" t="n">
        <v>189.8</v>
      </c>
      <c r="AR233" s="34" t="n">
        <f aca="false">0.55*AQ233</f>
        <v>104.39</v>
      </c>
      <c r="AS233" s="34" t="n">
        <v>0.12</v>
      </c>
      <c r="AT233" s="33" t="n">
        <v>7.5</v>
      </c>
      <c r="AU233" s="23" t="n">
        <v>18</v>
      </c>
      <c r="AV233" s="33" t="n">
        <v>293</v>
      </c>
      <c r="AW233" s="23"/>
      <c r="AX233" s="34" t="n">
        <v>1</v>
      </c>
      <c r="AY233" s="34" t="n">
        <v>0.19</v>
      </c>
    </row>
    <row r="234" customFormat="false" ht="15" hidden="false" customHeight="false" outlineLevel="0" collapsed="false">
      <c r="A234" s="16" t="s">
        <v>83</v>
      </c>
      <c r="B234" s="2" t="s">
        <v>52</v>
      </c>
      <c r="C234" s="29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P234" s="21"/>
      <c r="AQ234" s="21"/>
      <c r="AR234" s="21"/>
      <c r="AS234" s="21"/>
      <c r="AT234" s="33" t="n">
        <v>7.11</v>
      </c>
      <c r="AU234" s="23" t="n">
        <v>19</v>
      </c>
      <c r="AV234" s="33" t="n">
        <v>291</v>
      </c>
      <c r="AW234" s="33" t="n">
        <f aca="false">0.55*AV234</f>
        <v>160.05</v>
      </c>
      <c r="AX234" s="34" t="n">
        <v>1</v>
      </c>
      <c r="AY234" s="33" t="n">
        <v>0.26</v>
      </c>
    </row>
    <row r="235" customFormat="false" ht="15" hidden="false" customHeight="false" outlineLevel="0" collapsed="false">
      <c r="A235" s="16" t="s">
        <v>83</v>
      </c>
      <c r="B235" s="2" t="s">
        <v>57</v>
      </c>
      <c r="C235" s="32" t="n">
        <v>8.11</v>
      </c>
      <c r="D235" s="23" t="n">
        <v>18.6</v>
      </c>
      <c r="E235" s="33" t="n">
        <v>54.4</v>
      </c>
      <c r="F235" s="34" t="n">
        <f aca="false">0.6*E235</f>
        <v>32.64</v>
      </c>
      <c r="G235" s="33" t="n">
        <v>0.16</v>
      </c>
      <c r="H235" s="33" t="n">
        <v>8.05</v>
      </c>
      <c r="I235" s="23" t="n">
        <v>17.4</v>
      </c>
      <c r="J235" s="49"/>
      <c r="K235" s="49"/>
      <c r="L235" s="33" t="n">
        <v>0.72</v>
      </c>
      <c r="M235" s="33" t="n">
        <v>8.06</v>
      </c>
      <c r="N235" s="23" t="n">
        <v>17.3</v>
      </c>
      <c r="O235" s="49"/>
      <c r="P235" s="49"/>
      <c r="Q235" s="33" t="n">
        <v>0.65</v>
      </c>
      <c r="R235" s="34" t="n">
        <v>8.05</v>
      </c>
      <c r="S235" s="19" t="n">
        <v>17.3</v>
      </c>
      <c r="T235" s="49"/>
      <c r="U235" s="49"/>
      <c r="V235" s="34" t="n">
        <v>0.15</v>
      </c>
      <c r="W235" s="33" t="n">
        <v>8.05</v>
      </c>
      <c r="X235" s="23" t="n">
        <v>17.3</v>
      </c>
      <c r="Y235" s="49"/>
      <c r="Z235" s="49"/>
      <c r="AA235" s="33" t="n">
        <v>0.09</v>
      </c>
      <c r="AB235" s="33" t="n">
        <v>8.02</v>
      </c>
      <c r="AC235" s="23" t="n">
        <v>17.8</v>
      </c>
      <c r="AD235" s="33" t="n">
        <v>54.3</v>
      </c>
      <c r="AE235" s="34" t="n">
        <f aca="false">0.6*AD235</f>
        <v>32.58</v>
      </c>
      <c r="AF235" s="33"/>
      <c r="AG235" s="33" t="n">
        <v>0.11</v>
      </c>
      <c r="AH235" s="45"/>
      <c r="AI235" s="33" t="n">
        <v>8</v>
      </c>
      <c r="AJ235" s="23" t="n">
        <v>17.7</v>
      </c>
      <c r="AK235" s="33" t="n">
        <v>54.4</v>
      </c>
      <c r="AL235" s="34" t="n">
        <f aca="false">0.6*AK235</f>
        <v>32.64</v>
      </c>
      <c r="AM235" s="33"/>
      <c r="AN235" s="33" t="n">
        <v>0.08</v>
      </c>
      <c r="AO235" s="2" t="n">
        <v>6.06</v>
      </c>
      <c r="AP235" s="23" t="n">
        <v>18.3</v>
      </c>
      <c r="AQ235" s="33" t="n">
        <v>208</v>
      </c>
      <c r="AR235" s="34" t="n">
        <f aca="false">0.55*AQ235</f>
        <v>114.4</v>
      </c>
      <c r="AS235" s="33" t="n">
        <v>0.1</v>
      </c>
      <c r="AT235" s="33" t="n">
        <v>7.24</v>
      </c>
      <c r="AU235" s="23" t="n">
        <v>18.6</v>
      </c>
      <c r="AV235" s="33" t="n">
        <v>318</v>
      </c>
      <c r="AW235" s="34" t="n">
        <f aca="false">0.55*AV235</f>
        <v>174.9</v>
      </c>
      <c r="AX235" s="34" t="n">
        <v>1</v>
      </c>
      <c r="AY235" s="33" t="n">
        <v>0.16</v>
      </c>
    </row>
    <row r="236" customFormat="false" ht="15" hidden="false" customHeight="false" outlineLevel="0" collapsed="false">
      <c r="A236" s="16" t="s">
        <v>84</v>
      </c>
      <c r="B236" s="2" t="s">
        <v>51</v>
      </c>
      <c r="C236" s="32" t="n">
        <v>8.16</v>
      </c>
      <c r="D236" s="23" t="n">
        <v>18</v>
      </c>
      <c r="E236" s="33" t="n">
        <v>54.6</v>
      </c>
      <c r="F236" s="34" t="n">
        <f aca="false">0.6*E236</f>
        <v>32.76</v>
      </c>
      <c r="G236" s="33" t="n">
        <v>0.29</v>
      </c>
      <c r="H236" s="33" t="n">
        <v>8.11</v>
      </c>
      <c r="I236" s="23" t="n">
        <v>16.8</v>
      </c>
      <c r="J236" s="49"/>
      <c r="K236" s="37"/>
      <c r="L236" s="33" t="n">
        <v>1.14</v>
      </c>
      <c r="M236" s="33" t="n">
        <v>8.11</v>
      </c>
      <c r="N236" s="23" t="n">
        <v>16.6</v>
      </c>
      <c r="O236" s="49"/>
      <c r="P236" s="37"/>
      <c r="Q236" s="33" t="n">
        <v>0.84</v>
      </c>
      <c r="R236" s="33" t="n">
        <v>8.06</v>
      </c>
      <c r="S236" s="23" t="n">
        <v>16.7</v>
      </c>
      <c r="T236" s="49"/>
      <c r="U236" s="37"/>
      <c r="V236" s="34" t="n">
        <v>0.16</v>
      </c>
      <c r="W236" s="33" t="n">
        <v>8.06</v>
      </c>
      <c r="X236" s="23" t="n">
        <v>16.6</v>
      </c>
      <c r="Y236" s="49"/>
      <c r="Z236" s="37"/>
      <c r="AA236" s="34" t="n">
        <v>0.15</v>
      </c>
      <c r="AB236" s="33" t="n">
        <v>8.02</v>
      </c>
      <c r="AC236" s="23" t="n">
        <v>17.3</v>
      </c>
      <c r="AD236" s="33" t="n">
        <v>54.5</v>
      </c>
      <c r="AE236" s="34" t="n">
        <f aca="false">0.6*AD236</f>
        <v>32.7</v>
      </c>
      <c r="AF236" s="33"/>
      <c r="AG236" s="34" t="n">
        <v>0.1</v>
      </c>
      <c r="AH236" s="33"/>
      <c r="AI236" s="33" t="n">
        <v>8.02</v>
      </c>
      <c r="AJ236" s="23" t="n">
        <v>17.3</v>
      </c>
      <c r="AK236" s="33" t="n">
        <v>54.5</v>
      </c>
      <c r="AL236" s="34" t="n">
        <f aca="false">0.6*AK236</f>
        <v>32.7</v>
      </c>
      <c r="AM236" s="33"/>
      <c r="AN236" s="34" t="n">
        <v>0.09</v>
      </c>
      <c r="AO236" s="2" t="n">
        <v>6.12</v>
      </c>
      <c r="AP236" s="23" t="n">
        <v>17.6</v>
      </c>
      <c r="AQ236" s="33" t="n">
        <v>201</v>
      </c>
      <c r="AR236" s="34" t="n">
        <f aca="false">0.55*AQ236</f>
        <v>110.55</v>
      </c>
      <c r="AS236" s="34" t="n">
        <v>0.1</v>
      </c>
      <c r="AT236" s="33" t="n">
        <v>7.5</v>
      </c>
      <c r="AU236" s="23" t="n">
        <v>18</v>
      </c>
      <c r="AV236" s="33" t="n">
        <v>299</v>
      </c>
      <c r="AW236" s="23"/>
      <c r="AX236" s="34" t="n">
        <v>1</v>
      </c>
      <c r="AY236" s="34" t="n">
        <v>0.16</v>
      </c>
    </row>
    <row r="237" customFormat="false" ht="15" hidden="false" customHeight="false" outlineLevel="0" collapsed="false">
      <c r="A237" s="16" t="s">
        <v>84</v>
      </c>
      <c r="B237" s="2" t="s">
        <v>52</v>
      </c>
      <c r="C237" s="29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P237" s="21"/>
      <c r="AQ237" s="21"/>
      <c r="AR237" s="21"/>
      <c r="AS237" s="21"/>
      <c r="AT237" s="33" t="n">
        <v>7.4</v>
      </c>
      <c r="AU237" s="23" t="n">
        <v>18</v>
      </c>
      <c r="AV237" s="33" t="n">
        <v>300</v>
      </c>
      <c r="AW237" s="33" t="n">
        <f aca="false">0.55*AV237</f>
        <v>165</v>
      </c>
      <c r="AX237" s="34" t="n">
        <v>1</v>
      </c>
      <c r="AY237" s="33" t="n">
        <v>0.17</v>
      </c>
    </row>
    <row r="238" customFormat="false" ht="15" hidden="false" customHeight="false" outlineLevel="0" collapsed="false">
      <c r="A238" s="16" t="s">
        <v>84</v>
      </c>
      <c r="B238" s="2" t="s">
        <v>57</v>
      </c>
      <c r="C238" s="32" t="n">
        <v>8.13</v>
      </c>
      <c r="D238" s="23" t="n">
        <v>19.2</v>
      </c>
      <c r="E238" s="33" t="n">
        <v>54.1</v>
      </c>
      <c r="F238" s="34" t="n">
        <f aca="false">0.6*E238</f>
        <v>32.46</v>
      </c>
      <c r="G238" s="33" t="n">
        <v>0.18</v>
      </c>
      <c r="H238" s="33" t="n">
        <v>8.1</v>
      </c>
      <c r="I238" s="23" t="n">
        <v>17.4</v>
      </c>
      <c r="J238" s="49"/>
      <c r="K238" s="49"/>
      <c r="L238" s="33" t="n">
        <v>0.47</v>
      </c>
      <c r="M238" s="33" t="n">
        <v>8.1</v>
      </c>
      <c r="N238" s="23" t="n">
        <v>17.4</v>
      </c>
      <c r="O238" s="49"/>
      <c r="P238" s="49"/>
      <c r="Q238" s="33" t="n">
        <v>0.43</v>
      </c>
      <c r="R238" s="34" t="n">
        <v>8.08</v>
      </c>
      <c r="S238" s="19" t="n">
        <v>17.3</v>
      </c>
      <c r="T238" s="49"/>
      <c r="U238" s="49"/>
      <c r="V238" s="34" t="n">
        <v>0</v>
      </c>
      <c r="W238" s="33" t="n">
        <v>8.08</v>
      </c>
      <c r="X238" s="23" t="n">
        <v>17.3</v>
      </c>
      <c r="Y238" s="49"/>
      <c r="Z238" s="49"/>
      <c r="AA238" s="34" t="n">
        <v>0</v>
      </c>
      <c r="AB238" s="33" t="n">
        <v>8.06</v>
      </c>
      <c r="AC238" s="23" t="n">
        <v>17.4</v>
      </c>
      <c r="AD238" s="33" t="n">
        <v>54.1</v>
      </c>
      <c r="AE238" s="34" t="n">
        <f aca="false">0.6*AD238</f>
        <v>32.46</v>
      </c>
      <c r="AF238" s="33"/>
      <c r="AG238" s="34" t="n">
        <v>0</v>
      </c>
      <c r="AH238" s="45"/>
      <c r="AI238" s="33" t="n">
        <v>8.06</v>
      </c>
      <c r="AJ238" s="23" t="n">
        <v>17.4</v>
      </c>
      <c r="AK238" s="33" t="n">
        <v>54.1</v>
      </c>
      <c r="AL238" s="34" t="n">
        <f aca="false">0.6*AK238</f>
        <v>32.46</v>
      </c>
      <c r="AM238" s="33"/>
      <c r="AN238" s="34" t="n">
        <v>0</v>
      </c>
      <c r="AO238" s="2" t="n">
        <v>6.16</v>
      </c>
      <c r="AP238" s="23" t="n">
        <v>18.2</v>
      </c>
      <c r="AQ238" s="33" t="n">
        <v>190.9</v>
      </c>
      <c r="AR238" s="34" t="n">
        <f aca="false">0.55*AQ238</f>
        <v>104.995</v>
      </c>
      <c r="AS238" s="34" t="n">
        <v>0</v>
      </c>
      <c r="AT238" s="33" t="n">
        <v>7.29</v>
      </c>
      <c r="AU238" s="23" t="n">
        <v>19</v>
      </c>
      <c r="AV238" s="33" t="n">
        <v>291</v>
      </c>
      <c r="AW238" s="34" t="n">
        <f aca="false">0.55*AV238</f>
        <v>160.05</v>
      </c>
      <c r="AX238" s="34"/>
      <c r="AY238" s="33" t="n">
        <v>0.06</v>
      </c>
    </row>
    <row r="239" customFormat="false" ht="15" hidden="false" customHeight="false" outlineLevel="0" collapsed="false">
      <c r="A239" s="16" t="s">
        <v>85</v>
      </c>
      <c r="B239" s="2" t="s">
        <v>51</v>
      </c>
      <c r="C239" s="29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</row>
    <row r="240" customFormat="false" ht="15" hidden="false" customHeight="false" outlineLevel="0" collapsed="false">
      <c r="A240" s="16" t="s">
        <v>85</v>
      </c>
      <c r="B240" s="2" t="s">
        <v>52</v>
      </c>
      <c r="C240" s="29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</row>
    <row r="241" customFormat="false" ht="15" hidden="false" customHeight="false" outlineLevel="0" collapsed="false">
      <c r="A241" s="16" t="s">
        <v>85</v>
      </c>
      <c r="B241" s="2" t="s">
        <v>57</v>
      </c>
      <c r="C241" s="29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</row>
    <row r="242" customFormat="false" ht="15" hidden="false" customHeight="false" outlineLevel="0" collapsed="false">
      <c r="A242" s="16" t="s">
        <v>86</v>
      </c>
      <c r="B242" s="2" t="s">
        <v>51</v>
      </c>
      <c r="C242" s="32" t="n">
        <v>8.13</v>
      </c>
      <c r="D242" s="23" t="n">
        <v>18</v>
      </c>
      <c r="E242" s="33" t="n">
        <v>54.8</v>
      </c>
      <c r="F242" s="34" t="n">
        <f aca="false">0.6*E242</f>
        <v>32.88</v>
      </c>
      <c r="G242" s="33" t="n">
        <v>0.52</v>
      </c>
      <c r="H242" s="33" t="n">
        <v>8.1</v>
      </c>
      <c r="I242" s="23" t="n">
        <v>17</v>
      </c>
      <c r="J242" s="49"/>
      <c r="K242" s="37"/>
      <c r="L242" s="33" t="n">
        <v>0.85</v>
      </c>
      <c r="M242" s="33" t="n">
        <v>8.1</v>
      </c>
      <c r="N242" s="23" t="n">
        <v>17</v>
      </c>
      <c r="O242" s="49"/>
      <c r="P242" s="37"/>
      <c r="Q242" s="33" t="n">
        <v>0.98</v>
      </c>
      <c r="R242" s="33" t="n">
        <v>8.06</v>
      </c>
      <c r="S242" s="23" t="n">
        <v>17</v>
      </c>
      <c r="T242" s="49"/>
      <c r="U242" s="37"/>
      <c r="V242" s="34" t="n">
        <v>0</v>
      </c>
      <c r="W242" s="33" t="n">
        <v>8.07</v>
      </c>
      <c r="X242" s="23" t="n">
        <v>17</v>
      </c>
      <c r="Y242" s="49"/>
      <c r="Z242" s="37"/>
      <c r="AA242" s="34" t="n">
        <v>0</v>
      </c>
      <c r="AB242" s="33" t="n">
        <v>8</v>
      </c>
      <c r="AC242" s="23" t="n">
        <v>17.5</v>
      </c>
      <c r="AD242" s="33" t="n">
        <v>54.5</v>
      </c>
      <c r="AE242" s="34" t="n">
        <f aca="false">0.6*AD242</f>
        <v>32.7</v>
      </c>
      <c r="AF242" s="33"/>
      <c r="AG242" s="34" t="n">
        <v>0</v>
      </c>
      <c r="AH242" s="33"/>
      <c r="AI242" s="33" t="n">
        <v>8</v>
      </c>
      <c r="AJ242" s="23" t="n">
        <v>17.6</v>
      </c>
      <c r="AK242" s="33" t="n">
        <v>54.5</v>
      </c>
      <c r="AL242" s="34" t="n">
        <f aca="false">0.6*AK242</f>
        <v>32.7</v>
      </c>
      <c r="AM242" s="33"/>
      <c r="AN242" s="34" t="n">
        <v>0</v>
      </c>
      <c r="AO242" s="2" t="n">
        <v>6.6</v>
      </c>
      <c r="AP242" s="23" t="n">
        <v>18</v>
      </c>
      <c r="AQ242" s="33" t="n">
        <v>207</v>
      </c>
      <c r="AR242" s="34" t="n">
        <f aca="false">0.55*AQ242</f>
        <v>113.85</v>
      </c>
      <c r="AS242" s="34" t="n">
        <v>0</v>
      </c>
      <c r="AT242" s="33" t="n">
        <v>7.7</v>
      </c>
      <c r="AU242" s="23" t="n">
        <v>18</v>
      </c>
      <c r="AV242" s="33" t="n">
        <v>292</v>
      </c>
      <c r="AW242" s="23"/>
      <c r="AX242" s="34" t="n">
        <v>1</v>
      </c>
      <c r="AY242" s="34" t="n">
        <v>0.1</v>
      </c>
    </row>
    <row r="243" customFormat="false" ht="15" hidden="false" customHeight="false" outlineLevel="0" collapsed="false">
      <c r="A243" s="16" t="s">
        <v>86</v>
      </c>
      <c r="B243" s="2" t="s">
        <v>52</v>
      </c>
      <c r="C243" s="29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P243" s="21"/>
      <c r="AQ243" s="21"/>
      <c r="AR243" s="21"/>
      <c r="AS243" s="21"/>
      <c r="AT243" s="33" t="n">
        <v>7.6</v>
      </c>
      <c r="AU243" s="23" t="n">
        <v>18</v>
      </c>
      <c r="AV243" s="33" t="n">
        <v>300</v>
      </c>
      <c r="AW243" s="33" t="n">
        <f aca="false">AV243*0.55</f>
        <v>165</v>
      </c>
      <c r="AX243" s="34" t="n">
        <v>1</v>
      </c>
      <c r="AY243" s="33" t="n">
        <v>0.12</v>
      </c>
    </row>
    <row r="244" customFormat="false" ht="15" hidden="false" customHeight="false" outlineLevel="0" collapsed="false">
      <c r="A244" s="16" t="s">
        <v>86</v>
      </c>
      <c r="B244" s="2" t="s">
        <v>57</v>
      </c>
      <c r="C244" s="32" t="n">
        <v>8.13</v>
      </c>
      <c r="D244" s="23" t="n">
        <v>19.2</v>
      </c>
      <c r="E244" s="33" t="n">
        <v>54.1</v>
      </c>
      <c r="F244" s="34" t="n">
        <f aca="false">0.6*E244</f>
        <v>32.46</v>
      </c>
      <c r="G244" s="33" t="n">
        <v>0.3</v>
      </c>
      <c r="H244" s="33" t="n">
        <v>8.1</v>
      </c>
      <c r="I244" s="23" t="n">
        <v>17.4</v>
      </c>
      <c r="J244" s="49"/>
      <c r="K244" s="49"/>
      <c r="L244" s="33" t="n">
        <v>0.61</v>
      </c>
      <c r="M244" s="33" t="n">
        <v>8.1</v>
      </c>
      <c r="N244" s="23" t="n">
        <v>17.4</v>
      </c>
      <c r="O244" s="49"/>
      <c r="P244" s="49"/>
      <c r="Q244" s="33" t="n">
        <v>0.75</v>
      </c>
      <c r="R244" s="34" t="n">
        <v>8.08</v>
      </c>
      <c r="S244" s="19" t="n">
        <v>17.3</v>
      </c>
      <c r="T244" s="49"/>
      <c r="U244" s="49"/>
      <c r="V244" s="34" t="n">
        <v>0</v>
      </c>
      <c r="W244" s="33" t="n">
        <v>8.08</v>
      </c>
      <c r="X244" s="23" t="n">
        <v>17.3</v>
      </c>
      <c r="Y244" s="49"/>
      <c r="Z244" s="49"/>
      <c r="AA244" s="34" t="n">
        <v>0</v>
      </c>
      <c r="AB244" s="33" t="n">
        <v>8.06</v>
      </c>
      <c r="AC244" s="23" t="n">
        <v>17.4</v>
      </c>
      <c r="AD244" s="33" t="n">
        <v>54.1</v>
      </c>
      <c r="AE244" s="34" t="n">
        <f aca="false">0.6*AD244</f>
        <v>32.46</v>
      </c>
      <c r="AF244" s="33"/>
      <c r="AG244" s="34" t="n">
        <v>0</v>
      </c>
      <c r="AH244" s="45"/>
      <c r="AI244" s="33" t="n">
        <v>8.06</v>
      </c>
      <c r="AJ244" s="23" t="n">
        <v>17.4</v>
      </c>
      <c r="AK244" s="33" t="n">
        <v>54.1</v>
      </c>
      <c r="AL244" s="34" t="n">
        <f aca="false">0.6*AK244</f>
        <v>32.46</v>
      </c>
      <c r="AM244" s="33"/>
      <c r="AN244" s="34" t="n">
        <v>0</v>
      </c>
      <c r="AO244" s="2" t="n">
        <v>6.5</v>
      </c>
      <c r="AP244" s="23" t="n">
        <v>18.2</v>
      </c>
      <c r="AQ244" s="33" t="n">
        <v>190.9</v>
      </c>
      <c r="AR244" s="34" t="n">
        <f aca="false">0.55*AQ244</f>
        <v>104.995</v>
      </c>
      <c r="AS244" s="34" t="n">
        <v>0</v>
      </c>
      <c r="AT244" s="33" t="n">
        <v>7.4</v>
      </c>
      <c r="AU244" s="23" t="n">
        <v>19</v>
      </c>
      <c r="AV244" s="33" t="n">
        <v>291</v>
      </c>
      <c r="AW244" s="34" t="n">
        <f aca="false">0.55*AV244</f>
        <v>160.05</v>
      </c>
      <c r="AX244" s="34" t="n">
        <v>1</v>
      </c>
      <c r="AY244" s="33" t="n">
        <v>0.8</v>
      </c>
    </row>
    <row r="245" customFormat="false" ht="15" hidden="false" customHeight="false" outlineLevel="0" collapsed="false">
      <c r="A245" s="16" t="s">
        <v>87</v>
      </c>
      <c r="B245" s="2" t="s">
        <v>51</v>
      </c>
      <c r="C245" s="32" t="n">
        <v>8.08</v>
      </c>
      <c r="D245" s="23" t="n">
        <v>18</v>
      </c>
      <c r="E245" s="33" t="n">
        <v>54.9</v>
      </c>
      <c r="F245" s="34" t="n">
        <f aca="false">0.6*E245</f>
        <v>32.94</v>
      </c>
      <c r="G245" s="33" t="n">
        <v>0.38</v>
      </c>
      <c r="H245" s="33" t="n">
        <v>8.04</v>
      </c>
      <c r="I245" s="23" t="n">
        <v>16.8</v>
      </c>
      <c r="J245" s="49"/>
      <c r="K245" s="37"/>
      <c r="L245" s="33" t="n">
        <v>1.33</v>
      </c>
      <c r="M245" s="33" t="n">
        <v>8.04</v>
      </c>
      <c r="N245" s="23" t="n">
        <v>16.8</v>
      </c>
      <c r="O245" s="49"/>
      <c r="P245" s="37"/>
      <c r="Q245" s="33" t="n">
        <v>1.09</v>
      </c>
      <c r="R245" s="33" t="n">
        <v>8.02</v>
      </c>
      <c r="S245" s="23" t="n">
        <v>16.5</v>
      </c>
      <c r="T245" s="49"/>
      <c r="U245" s="37"/>
      <c r="V245" s="34" t="n">
        <v>0</v>
      </c>
      <c r="W245" s="33" t="n">
        <v>8.02</v>
      </c>
      <c r="X245" s="23" t="n">
        <v>16.5</v>
      </c>
      <c r="Y245" s="49"/>
      <c r="Z245" s="37"/>
      <c r="AA245" s="34" t="n">
        <v>0</v>
      </c>
      <c r="AB245" s="33" t="n">
        <v>8.01</v>
      </c>
      <c r="AC245" s="23" t="n">
        <v>17</v>
      </c>
      <c r="AD245" s="33" t="n">
        <v>54.9</v>
      </c>
      <c r="AE245" s="34" t="n">
        <f aca="false">0.6*AD245</f>
        <v>32.94</v>
      </c>
      <c r="AF245" s="33"/>
      <c r="AG245" s="34" t="n">
        <v>0</v>
      </c>
      <c r="AH245" s="33"/>
      <c r="AI245" s="33" t="n">
        <v>8</v>
      </c>
      <c r="AJ245" s="23" t="n">
        <v>17</v>
      </c>
      <c r="AK245" s="33" t="n">
        <v>54.9</v>
      </c>
      <c r="AL245" s="34" t="n">
        <f aca="false">0.6*AK245</f>
        <v>32.94</v>
      </c>
      <c r="AM245" s="33"/>
      <c r="AN245" s="34" t="n">
        <v>0</v>
      </c>
      <c r="AO245" s="2" t="n">
        <v>6.1</v>
      </c>
      <c r="AP245" s="23" t="n">
        <v>175</v>
      </c>
      <c r="AQ245" s="33" t="n">
        <v>183.3</v>
      </c>
      <c r="AR245" s="34" t="n">
        <f aca="false">0.55*AQ245</f>
        <v>100.815</v>
      </c>
      <c r="AS245" s="34" t="n">
        <v>0</v>
      </c>
      <c r="AT245" s="33" t="n">
        <v>7.6</v>
      </c>
      <c r="AU245" s="23" t="n">
        <v>18</v>
      </c>
      <c r="AV245" s="33" t="n">
        <v>314</v>
      </c>
      <c r="AW245" s="23"/>
      <c r="AX245" s="34" t="n">
        <v>1</v>
      </c>
      <c r="AY245" s="34" t="n">
        <v>0.02</v>
      </c>
    </row>
    <row r="246" customFormat="false" ht="15" hidden="false" customHeight="false" outlineLevel="0" collapsed="false">
      <c r="A246" s="16" t="s">
        <v>87</v>
      </c>
      <c r="B246" s="2" t="s">
        <v>52</v>
      </c>
      <c r="C246" s="29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P246" s="21"/>
      <c r="AQ246" s="21"/>
      <c r="AR246" s="21"/>
      <c r="AS246" s="21"/>
      <c r="AT246" s="33" t="n">
        <v>7.05</v>
      </c>
      <c r="AU246" s="23" t="n">
        <v>18.5</v>
      </c>
      <c r="AV246" s="33" t="n">
        <v>279</v>
      </c>
      <c r="AW246" s="34" t="n">
        <f aca="false">0.55*AV246</f>
        <v>153.45</v>
      </c>
      <c r="AX246" s="34"/>
      <c r="AY246" s="33" t="n">
        <v>0.08</v>
      </c>
    </row>
    <row r="247" customFormat="false" ht="15" hidden="false" customHeight="false" outlineLevel="0" collapsed="false">
      <c r="A247" s="16" t="s">
        <v>87</v>
      </c>
      <c r="B247" s="2" t="s">
        <v>57</v>
      </c>
      <c r="C247" s="32" t="n">
        <v>8.06</v>
      </c>
      <c r="D247" s="23" t="n">
        <v>18.7</v>
      </c>
      <c r="E247" s="33" t="n">
        <v>54.7</v>
      </c>
      <c r="F247" s="34" t="n">
        <f aca="false">0.6*E247</f>
        <v>32.82</v>
      </c>
      <c r="G247" s="33" t="n">
        <v>0.44</v>
      </c>
      <c r="H247" s="33" t="n">
        <v>8.03</v>
      </c>
      <c r="I247" s="23" t="n">
        <v>17</v>
      </c>
      <c r="J247" s="49"/>
      <c r="K247" s="49"/>
      <c r="L247" s="33" t="n">
        <v>1.19</v>
      </c>
      <c r="M247" s="33" t="n">
        <v>8.03</v>
      </c>
      <c r="N247" s="23" t="n">
        <v>17</v>
      </c>
      <c r="O247" s="49"/>
      <c r="P247" s="49"/>
      <c r="Q247" s="33" t="n">
        <v>1.21</v>
      </c>
      <c r="R247" s="34" t="n">
        <v>8.03</v>
      </c>
      <c r="S247" s="19" t="n">
        <v>16.9</v>
      </c>
      <c r="T247" s="49"/>
      <c r="U247" s="49"/>
      <c r="V247" s="34" t="n">
        <v>0</v>
      </c>
      <c r="W247" s="33" t="n">
        <v>8.03</v>
      </c>
      <c r="X247" s="23" t="n">
        <v>16.9</v>
      </c>
      <c r="Y247" s="49"/>
      <c r="Z247" s="49"/>
      <c r="AA247" s="34" t="n">
        <v>0</v>
      </c>
      <c r="AB247" s="33" t="n">
        <v>8</v>
      </c>
      <c r="AC247" s="23" t="n">
        <v>17.1</v>
      </c>
      <c r="AD247" s="33" t="n">
        <v>54.7</v>
      </c>
      <c r="AE247" s="34" t="n">
        <f aca="false">0.6*AD247</f>
        <v>32.82</v>
      </c>
      <c r="AF247" s="33"/>
      <c r="AG247" s="34" t="n">
        <v>0</v>
      </c>
      <c r="AH247" s="45"/>
      <c r="AI247" s="33" t="n">
        <v>8</v>
      </c>
      <c r="AJ247" s="23" t="n">
        <v>17.4</v>
      </c>
      <c r="AK247" s="33" t="n">
        <v>54.7</v>
      </c>
      <c r="AL247" s="34" t="n">
        <f aca="false">0.6*AK247</f>
        <v>32.82</v>
      </c>
      <c r="AM247" s="33"/>
      <c r="AN247" s="34" t="n">
        <v>0</v>
      </c>
      <c r="AO247" s="2" t="n">
        <v>6.1</v>
      </c>
      <c r="AP247" s="23" t="n">
        <v>18.9</v>
      </c>
      <c r="AQ247" s="33" t="n">
        <v>198.7</v>
      </c>
      <c r="AR247" s="34" t="n">
        <f aca="false">0.55*AQ247</f>
        <v>109.285</v>
      </c>
      <c r="AS247" s="34" t="n">
        <v>0</v>
      </c>
      <c r="AT247" s="33" t="n">
        <v>7.16</v>
      </c>
      <c r="AU247" s="23" t="n">
        <v>18.66</v>
      </c>
      <c r="AV247" s="33" t="n">
        <v>283</v>
      </c>
      <c r="AW247" s="34" t="n">
        <f aca="false">0.55*AV247</f>
        <v>155.65</v>
      </c>
      <c r="AX247" s="34"/>
      <c r="AY247" s="33" t="n">
        <v>0.08</v>
      </c>
    </row>
    <row r="248" customFormat="false" ht="15" hidden="false" customHeight="false" outlineLevel="0" collapsed="false">
      <c r="A248" s="16" t="s">
        <v>88</v>
      </c>
      <c r="B248" s="2" t="s">
        <v>51</v>
      </c>
      <c r="C248" s="32" t="n">
        <v>8.13</v>
      </c>
      <c r="D248" s="23" t="n">
        <v>18.7</v>
      </c>
      <c r="E248" s="33" t="n">
        <v>54.7</v>
      </c>
      <c r="F248" s="34" t="n">
        <f aca="false">0.6*E248</f>
        <v>32.82</v>
      </c>
      <c r="G248" s="33" t="n">
        <v>0.61</v>
      </c>
      <c r="H248" s="33" t="n">
        <v>8.08</v>
      </c>
      <c r="I248" s="23" t="n">
        <v>16.8</v>
      </c>
      <c r="J248" s="49"/>
      <c r="K248" s="37"/>
      <c r="L248" s="33" t="n">
        <v>1.82</v>
      </c>
      <c r="M248" s="33" t="n">
        <v>8.08</v>
      </c>
      <c r="N248" s="23" t="n">
        <v>16.8</v>
      </c>
      <c r="O248" s="49"/>
      <c r="P248" s="37"/>
      <c r="Q248" s="33" t="n">
        <v>1.85</v>
      </c>
      <c r="R248" s="33" t="n">
        <v>8.06</v>
      </c>
      <c r="S248" s="23" t="n">
        <v>16.6</v>
      </c>
      <c r="T248" s="49"/>
      <c r="U248" s="37"/>
      <c r="V248" s="34" t="n">
        <v>0</v>
      </c>
      <c r="W248" s="33" t="n">
        <v>8.06</v>
      </c>
      <c r="X248" s="23" t="n">
        <v>16.7</v>
      </c>
      <c r="Y248" s="49"/>
      <c r="Z248" s="37"/>
      <c r="AA248" s="34" t="n">
        <v>0</v>
      </c>
      <c r="AB248" s="33" t="n">
        <v>8.02</v>
      </c>
      <c r="AC248" s="23" t="n">
        <v>16.9</v>
      </c>
      <c r="AD248" s="33" t="n">
        <v>54.7</v>
      </c>
      <c r="AE248" s="34" t="n">
        <f aca="false">0.6*AD248</f>
        <v>32.82</v>
      </c>
      <c r="AF248" s="33"/>
      <c r="AG248" s="34" t="n">
        <v>0</v>
      </c>
      <c r="AH248" s="33"/>
      <c r="AI248" s="33" t="n">
        <v>8.02</v>
      </c>
      <c r="AJ248" s="23" t="n">
        <v>16.9</v>
      </c>
      <c r="AK248" s="33" t="n">
        <v>54.7</v>
      </c>
      <c r="AL248" s="34" t="n">
        <f aca="false">0.6*AK248</f>
        <v>32.82</v>
      </c>
      <c r="AM248" s="33"/>
      <c r="AN248" s="34" t="n">
        <v>0</v>
      </c>
      <c r="AO248" s="2" t="n">
        <v>6.08</v>
      </c>
      <c r="AP248" s="23" t="n">
        <v>17.6</v>
      </c>
      <c r="AQ248" s="33" t="n">
        <v>195.9</v>
      </c>
      <c r="AR248" s="34" t="n">
        <f aca="false">0.55*AQ248</f>
        <v>107.745</v>
      </c>
      <c r="AS248" s="34" t="n">
        <v>0</v>
      </c>
      <c r="AT248" s="33" t="n">
        <v>7.6</v>
      </c>
      <c r="AU248" s="23" t="n">
        <v>19</v>
      </c>
      <c r="AV248" s="33" t="n">
        <v>301</v>
      </c>
      <c r="AW248" s="23"/>
      <c r="AX248" s="34" t="n">
        <v>1</v>
      </c>
      <c r="AY248" s="34" t="n">
        <v>0</v>
      </c>
    </row>
    <row r="249" customFormat="false" ht="15" hidden="false" customHeight="false" outlineLevel="0" collapsed="false">
      <c r="A249" s="16" t="s">
        <v>88</v>
      </c>
      <c r="B249" s="2" t="s">
        <v>52</v>
      </c>
      <c r="C249" s="29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P249" s="21"/>
      <c r="AQ249" s="21"/>
      <c r="AR249" s="21"/>
      <c r="AS249" s="21"/>
      <c r="AT249" s="33" t="n">
        <v>7.01</v>
      </c>
      <c r="AU249" s="23" t="n">
        <v>18.4</v>
      </c>
      <c r="AV249" s="33" t="n">
        <v>266</v>
      </c>
      <c r="AW249" s="34" t="n">
        <f aca="false">0.55*AV249</f>
        <v>146.3</v>
      </c>
      <c r="AX249" s="34" t="n">
        <v>1</v>
      </c>
      <c r="AY249" s="33" t="n">
        <v>0.13</v>
      </c>
    </row>
    <row r="250" customFormat="false" ht="15" hidden="false" customHeight="false" outlineLevel="0" collapsed="false">
      <c r="A250" s="16" t="s">
        <v>88</v>
      </c>
      <c r="B250" s="2" t="s">
        <v>57</v>
      </c>
      <c r="C250" s="32" t="n">
        <v>8.15</v>
      </c>
      <c r="D250" s="23" t="n">
        <v>18.6</v>
      </c>
      <c r="E250" s="33" t="n">
        <v>54.8</v>
      </c>
      <c r="F250" s="34" t="n">
        <f aca="false">0.6*E250</f>
        <v>32.88</v>
      </c>
      <c r="G250" s="33" t="n">
        <v>0.57</v>
      </c>
      <c r="H250" s="33" t="n">
        <v>8.07</v>
      </c>
      <c r="I250" s="23" t="n">
        <v>17.2</v>
      </c>
      <c r="J250" s="49"/>
      <c r="K250" s="49"/>
      <c r="L250" s="33" t="n">
        <v>2.71</v>
      </c>
      <c r="M250" s="33" t="n">
        <v>8.07</v>
      </c>
      <c r="N250" s="23" t="n">
        <v>17.2</v>
      </c>
      <c r="O250" s="49"/>
      <c r="P250" s="49"/>
      <c r="Q250" s="33" t="n">
        <v>2.49</v>
      </c>
      <c r="R250" s="34" t="n">
        <v>8.06</v>
      </c>
      <c r="S250" s="19" t="n">
        <v>17.5</v>
      </c>
      <c r="T250" s="49"/>
      <c r="U250" s="49"/>
      <c r="V250" s="34" t="n">
        <v>0</v>
      </c>
      <c r="W250" s="33" t="n">
        <v>8.06</v>
      </c>
      <c r="X250" s="23" t="n">
        <v>17.5</v>
      </c>
      <c r="Y250" s="49"/>
      <c r="Z250" s="49"/>
      <c r="AA250" s="34" t="n">
        <v>0</v>
      </c>
      <c r="AB250" s="33" t="n">
        <v>8.05</v>
      </c>
      <c r="AC250" s="23" t="n">
        <v>17.7</v>
      </c>
      <c r="AD250" s="33" t="n">
        <v>54.5</v>
      </c>
      <c r="AE250" s="34" t="n">
        <f aca="false">0.6*AD250</f>
        <v>32.7</v>
      </c>
      <c r="AF250" s="33"/>
      <c r="AG250" s="34" t="n">
        <v>0</v>
      </c>
      <c r="AH250" s="45"/>
      <c r="AI250" s="33" t="n">
        <v>8.05</v>
      </c>
      <c r="AJ250" s="23" t="n">
        <v>17.7</v>
      </c>
      <c r="AK250" s="33" t="n">
        <v>54.7</v>
      </c>
      <c r="AL250" s="34" t="n">
        <f aca="false">0.6*AK250</f>
        <v>32.82</v>
      </c>
      <c r="AM250" s="33"/>
      <c r="AN250" s="34" t="n">
        <v>0</v>
      </c>
      <c r="AO250" s="2" t="n">
        <v>6.07</v>
      </c>
      <c r="AP250" s="23" t="n">
        <v>18.6</v>
      </c>
      <c r="AQ250" s="33" t="n">
        <v>199.2</v>
      </c>
      <c r="AR250" s="34" t="n">
        <f aca="false">0.55*AQ250</f>
        <v>109.56</v>
      </c>
      <c r="AS250" s="34" t="n">
        <v>0</v>
      </c>
      <c r="AT250" s="33" t="n">
        <v>7.4</v>
      </c>
      <c r="AU250" s="23" t="n">
        <v>19</v>
      </c>
      <c r="AV250" s="33" t="n">
        <v>261</v>
      </c>
      <c r="AW250" s="34" t="n">
        <f aca="false">0.55*AV250</f>
        <v>143.55</v>
      </c>
      <c r="AX250" s="34" t="n">
        <v>1</v>
      </c>
      <c r="AY250" s="33" t="n">
        <v>0.05</v>
      </c>
    </row>
    <row r="251" customFormat="false" ht="15" hidden="false" customHeight="false" outlineLevel="0" collapsed="false">
      <c r="A251" s="16" t="s">
        <v>89</v>
      </c>
      <c r="B251" s="2" t="s">
        <v>51</v>
      </c>
      <c r="C251" s="32" t="n">
        <v>8.12</v>
      </c>
      <c r="D251" s="23" t="n">
        <v>18</v>
      </c>
      <c r="E251" s="33" t="n">
        <v>54.7</v>
      </c>
      <c r="F251" s="34" t="n">
        <f aca="false">0.6*E251</f>
        <v>32.82</v>
      </c>
      <c r="G251" s="33" t="n">
        <v>0.36</v>
      </c>
      <c r="H251" s="33" t="n">
        <v>8.08</v>
      </c>
      <c r="I251" s="23" t="n">
        <v>17.9</v>
      </c>
      <c r="J251" s="49"/>
      <c r="K251" s="37"/>
      <c r="L251" s="33" t="n">
        <v>1.46</v>
      </c>
      <c r="M251" s="33" t="n">
        <v>8.08</v>
      </c>
      <c r="N251" s="23" t="n">
        <v>17.9</v>
      </c>
      <c r="O251" s="49"/>
      <c r="P251" s="37"/>
      <c r="Q251" s="33" t="n">
        <v>1.42</v>
      </c>
      <c r="R251" s="33" t="n">
        <v>8.06</v>
      </c>
      <c r="S251" s="23" t="n">
        <v>17.5</v>
      </c>
      <c r="T251" s="49"/>
      <c r="U251" s="37"/>
      <c r="V251" s="34" t="n">
        <v>0</v>
      </c>
      <c r="W251" s="33" t="n">
        <v>8.06</v>
      </c>
      <c r="X251" s="23" t="n">
        <v>17.5</v>
      </c>
      <c r="Y251" s="49"/>
      <c r="Z251" s="37"/>
      <c r="AA251" s="34" t="n">
        <v>0</v>
      </c>
      <c r="AB251" s="33" t="n">
        <v>8.05</v>
      </c>
      <c r="AC251" s="23" t="n">
        <v>17.3</v>
      </c>
      <c r="AD251" s="33" t="n">
        <v>54.6</v>
      </c>
      <c r="AE251" s="34" t="n">
        <f aca="false">0.6*AD251</f>
        <v>32.76</v>
      </c>
      <c r="AF251" s="33"/>
      <c r="AG251" s="34" t="n">
        <v>0</v>
      </c>
      <c r="AH251" s="33"/>
      <c r="AI251" s="33" t="n">
        <v>8.05</v>
      </c>
      <c r="AJ251" s="23" t="n">
        <v>17.3</v>
      </c>
      <c r="AK251" s="33" t="n">
        <v>54.6</v>
      </c>
      <c r="AL251" s="34" t="n">
        <f aca="false">0.6*AK251</f>
        <v>32.76</v>
      </c>
      <c r="AM251" s="33"/>
      <c r="AN251" s="34" t="n">
        <v>0</v>
      </c>
      <c r="AO251" s="2" t="n">
        <v>6.28</v>
      </c>
      <c r="AP251" s="23" t="n">
        <v>17.7</v>
      </c>
      <c r="AQ251" s="33" t="n">
        <v>199.7</v>
      </c>
      <c r="AR251" s="34" t="n">
        <f aca="false">0.55*AQ251</f>
        <v>109.835</v>
      </c>
      <c r="AS251" s="34" t="n">
        <v>0</v>
      </c>
      <c r="AT251" s="33" t="n">
        <v>7.26</v>
      </c>
      <c r="AU251" s="23" t="n">
        <v>17.6</v>
      </c>
      <c r="AV251" s="33" t="n">
        <v>293</v>
      </c>
      <c r="AW251" s="23"/>
      <c r="AX251" s="34" t="n">
        <v>0.85</v>
      </c>
      <c r="AY251" s="34" t="n">
        <v>0</v>
      </c>
    </row>
    <row r="252" customFormat="false" ht="15" hidden="false" customHeight="false" outlineLevel="0" collapsed="false">
      <c r="A252" s="16" t="s">
        <v>89</v>
      </c>
      <c r="B252" s="2" t="s">
        <v>52</v>
      </c>
      <c r="C252" s="29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P252" s="21"/>
      <c r="AQ252" s="21"/>
      <c r="AR252" s="21"/>
      <c r="AS252" s="21"/>
      <c r="AT252" s="33" t="n">
        <v>7.23</v>
      </c>
      <c r="AU252" s="23" t="n">
        <v>18.1</v>
      </c>
      <c r="AV252" s="33" t="n">
        <v>263</v>
      </c>
      <c r="AW252" s="34" t="n">
        <f aca="false">0.55*AV252</f>
        <v>144.65</v>
      </c>
      <c r="AX252" s="34" t="n">
        <v>0.8</v>
      </c>
      <c r="AY252" s="33" t="n">
        <v>0.03</v>
      </c>
    </row>
    <row r="253" customFormat="false" ht="15" hidden="false" customHeight="false" outlineLevel="0" collapsed="false">
      <c r="A253" s="16" t="s">
        <v>89</v>
      </c>
      <c r="B253" s="2" t="s">
        <v>57</v>
      </c>
      <c r="C253" s="32" t="n">
        <v>8.12</v>
      </c>
      <c r="D253" s="23" t="n">
        <v>18.2</v>
      </c>
      <c r="E253" s="33" t="n">
        <v>54.7</v>
      </c>
      <c r="F253" s="34" t="n">
        <f aca="false">0.6*E253</f>
        <v>32.82</v>
      </c>
      <c r="G253" s="33" t="n">
        <v>0.45</v>
      </c>
      <c r="H253" s="33" t="n">
        <v>8.09</v>
      </c>
      <c r="I253" s="23" t="n">
        <v>18</v>
      </c>
      <c r="J253" s="49"/>
      <c r="K253" s="49"/>
      <c r="L253" s="33" t="n">
        <v>1.76</v>
      </c>
      <c r="M253" s="33" t="n">
        <v>8.09</v>
      </c>
      <c r="N253" s="23" t="n">
        <v>18</v>
      </c>
      <c r="O253" s="49"/>
      <c r="P253" s="49"/>
      <c r="Q253" s="33" t="n">
        <v>1.78</v>
      </c>
      <c r="R253" s="34" t="n">
        <v>8.05</v>
      </c>
      <c r="S253" s="19" t="n">
        <v>17.4</v>
      </c>
      <c r="T253" s="49"/>
      <c r="U253" s="49"/>
      <c r="V253" s="34" t="n">
        <v>0.07</v>
      </c>
      <c r="W253" s="33" t="n">
        <v>8.05</v>
      </c>
      <c r="X253" s="23" t="n">
        <v>17.4</v>
      </c>
      <c r="Y253" s="49"/>
      <c r="Z253" s="49"/>
      <c r="AA253" s="34" t="n">
        <v>0.06</v>
      </c>
      <c r="AB253" s="33" t="n">
        <v>8.02</v>
      </c>
      <c r="AC253" s="23" t="n">
        <v>17.5</v>
      </c>
      <c r="AD253" s="33" t="n">
        <v>54.6</v>
      </c>
      <c r="AE253" s="34" t="n">
        <f aca="false">0.6*AD253</f>
        <v>32.76</v>
      </c>
      <c r="AF253" s="33"/>
      <c r="AG253" s="34" t="n">
        <v>0</v>
      </c>
      <c r="AH253" s="45"/>
      <c r="AI253" s="33" t="n">
        <v>8.02</v>
      </c>
      <c r="AJ253" s="23" t="n">
        <v>17.5</v>
      </c>
      <c r="AK253" s="33" t="n">
        <v>54.6</v>
      </c>
      <c r="AL253" s="34" t="n">
        <f aca="false">0.6*AK253</f>
        <v>32.76</v>
      </c>
      <c r="AM253" s="33"/>
      <c r="AN253" s="34" t="n">
        <v>0</v>
      </c>
      <c r="AO253" s="2" t="n">
        <v>6.13</v>
      </c>
      <c r="AP253" s="23" t="n">
        <v>18.3</v>
      </c>
      <c r="AQ253" s="33" t="n">
        <v>199.9</v>
      </c>
      <c r="AR253" s="34" t="n">
        <f aca="false">0.55*AQ253</f>
        <v>109.945</v>
      </c>
      <c r="AS253" s="34" t="n">
        <v>0</v>
      </c>
      <c r="AT253" s="33" t="n">
        <v>7.12</v>
      </c>
      <c r="AU253" s="23" t="n">
        <v>18.7</v>
      </c>
      <c r="AV253" s="33" t="n">
        <v>286</v>
      </c>
      <c r="AW253" s="34" t="n">
        <f aca="false">0.55*AV253</f>
        <v>157.3</v>
      </c>
      <c r="AX253" s="34" t="n">
        <v>1</v>
      </c>
      <c r="AY253" s="33" t="n">
        <v>0.01</v>
      </c>
    </row>
    <row r="254" customFormat="false" ht="15" hidden="false" customHeight="false" outlineLevel="0" collapsed="false">
      <c r="A254" s="16" t="s">
        <v>90</v>
      </c>
      <c r="B254" s="2" t="s">
        <v>51</v>
      </c>
      <c r="C254" s="32" t="n">
        <v>8.18</v>
      </c>
      <c r="D254" s="23" t="n">
        <v>17</v>
      </c>
      <c r="E254" s="33" t="n">
        <v>54.8</v>
      </c>
      <c r="F254" s="34" t="n">
        <f aca="false">0.6*E254</f>
        <v>32.88</v>
      </c>
      <c r="G254" s="33" t="n">
        <v>1.46</v>
      </c>
      <c r="H254" s="33" t="n">
        <v>8.13</v>
      </c>
      <c r="I254" s="23" t="n">
        <v>17.2</v>
      </c>
      <c r="J254" s="49"/>
      <c r="K254" s="37"/>
      <c r="L254" s="33" t="n">
        <v>1.62</v>
      </c>
      <c r="M254" s="33" t="n">
        <v>8.13</v>
      </c>
      <c r="N254" s="23" t="n">
        <v>17.2</v>
      </c>
      <c r="O254" s="49"/>
      <c r="P254" s="37"/>
      <c r="Q254" s="33" t="n">
        <v>1.64</v>
      </c>
      <c r="R254" s="33" t="n">
        <v>8.09</v>
      </c>
      <c r="S254" s="23" t="n">
        <v>17.3</v>
      </c>
      <c r="T254" s="49"/>
      <c r="U254" s="37"/>
      <c r="V254" s="34" t="n">
        <v>0</v>
      </c>
      <c r="W254" s="33" t="n">
        <v>8.09</v>
      </c>
      <c r="X254" s="23" t="n">
        <v>17.3</v>
      </c>
      <c r="Y254" s="49"/>
      <c r="Z254" s="37"/>
      <c r="AA254" s="34" t="n">
        <v>0</v>
      </c>
      <c r="AB254" s="33" t="n">
        <v>8.08</v>
      </c>
      <c r="AC254" s="23" t="n">
        <v>16.5</v>
      </c>
      <c r="AD254" s="33" t="n">
        <v>55</v>
      </c>
      <c r="AE254" s="34" t="n">
        <f aca="false">0.6*AD254</f>
        <v>33</v>
      </c>
      <c r="AF254" s="33"/>
      <c r="AG254" s="34" t="n">
        <v>0</v>
      </c>
      <c r="AH254" s="33"/>
      <c r="AI254" s="33" t="n">
        <v>8.08</v>
      </c>
      <c r="AJ254" s="23" t="n">
        <v>16.5</v>
      </c>
      <c r="AK254" s="33" t="n">
        <v>55</v>
      </c>
      <c r="AL254" s="34" t="n">
        <f aca="false">0.6*AK254</f>
        <v>33</v>
      </c>
      <c r="AM254" s="33"/>
      <c r="AN254" s="34" t="n">
        <v>0</v>
      </c>
      <c r="AO254" s="2" t="n">
        <v>6.2</v>
      </c>
      <c r="AP254" s="23" t="n">
        <v>17</v>
      </c>
      <c r="AQ254" s="33" t="n">
        <v>199</v>
      </c>
      <c r="AR254" s="34" t="n">
        <f aca="false">0.55*AQ254</f>
        <v>109.45</v>
      </c>
      <c r="AS254" s="34" t="n">
        <v>0</v>
      </c>
      <c r="AT254" s="33" t="n">
        <v>7.21</v>
      </c>
      <c r="AU254" s="23" t="n">
        <v>17.6</v>
      </c>
      <c r="AV254" s="33" t="n">
        <v>296</v>
      </c>
      <c r="AW254" s="23"/>
      <c r="AX254" s="34" t="n">
        <v>1</v>
      </c>
      <c r="AY254" s="34" t="n">
        <v>0</v>
      </c>
    </row>
    <row r="255" customFormat="false" ht="15" hidden="false" customHeight="false" outlineLevel="0" collapsed="false">
      <c r="A255" s="16" t="s">
        <v>90</v>
      </c>
      <c r="B255" s="2" t="s">
        <v>52</v>
      </c>
      <c r="C255" s="32" t="n">
        <v>8.14</v>
      </c>
      <c r="D255" s="23" t="n">
        <v>17.5</v>
      </c>
      <c r="E255" s="33" t="n">
        <v>54.8</v>
      </c>
      <c r="F255" s="34" t="n">
        <f aca="false">0.6*E255</f>
        <v>32.88</v>
      </c>
      <c r="G255" s="33" t="n">
        <v>0.62</v>
      </c>
      <c r="H255" s="33" t="n">
        <v>8.08</v>
      </c>
      <c r="I255" s="23" t="n">
        <v>16.7</v>
      </c>
      <c r="J255" s="49"/>
      <c r="K255" s="49"/>
      <c r="L255" s="33" t="n">
        <v>1.5</v>
      </c>
      <c r="M255" s="33" t="n">
        <v>8.08</v>
      </c>
      <c r="N255" s="23" t="n">
        <v>16.7</v>
      </c>
      <c r="O255" s="49"/>
      <c r="P255" s="49"/>
      <c r="Q255" s="33" t="n">
        <v>1.61</v>
      </c>
      <c r="R255" s="34" t="n">
        <v>8.06</v>
      </c>
      <c r="S255" s="19" t="n">
        <v>16.7</v>
      </c>
      <c r="T255" s="49"/>
      <c r="U255" s="49"/>
      <c r="V255" s="34" t="n">
        <v>0</v>
      </c>
      <c r="W255" s="33" t="n">
        <v>8.06</v>
      </c>
      <c r="X255" s="23" t="n">
        <v>16.7</v>
      </c>
      <c r="Y255" s="49"/>
      <c r="Z255" s="49"/>
      <c r="AA255" s="34" t="n">
        <v>0</v>
      </c>
      <c r="AB255" s="33" t="n">
        <v>8.04</v>
      </c>
      <c r="AC255" s="23" t="n">
        <v>16.9</v>
      </c>
      <c r="AD255" s="33" t="n">
        <v>54.8</v>
      </c>
      <c r="AE255" s="34" t="n">
        <f aca="false">0.6*AD255</f>
        <v>32.88</v>
      </c>
      <c r="AF255" s="33"/>
      <c r="AG255" s="34" t="n">
        <v>0</v>
      </c>
      <c r="AH255" s="33" t="s">
        <v>75</v>
      </c>
      <c r="AI255" s="33" t="n">
        <v>8.04</v>
      </c>
      <c r="AJ255" s="23" t="n">
        <v>16.9</v>
      </c>
      <c r="AK255" s="33" t="n">
        <v>54.8</v>
      </c>
      <c r="AL255" s="34" t="n">
        <f aca="false">0.6*AK255</f>
        <v>32.88</v>
      </c>
      <c r="AM255" s="33"/>
      <c r="AN255" s="34" t="n">
        <v>0</v>
      </c>
      <c r="AO255" s="2" t="n">
        <v>6.06</v>
      </c>
      <c r="AP255" s="23" t="n">
        <v>17.4</v>
      </c>
      <c r="AQ255" s="33" t="n">
        <v>204</v>
      </c>
      <c r="AR255" s="34" t="n">
        <f aca="false">0.55*AQ255</f>
        <v>112.2</v>
      </c>
      <c r="AS255" s="34" t="n">
        <v>0</v>
      </c>
      <c r="AT255" s="33" t="n">
        <v>7.41</v>
      </c>
      <c r="AU255" s="23" t="n">
        <v>17.8</v>
      </c>
      <c r="AV255" s="33" t="n">
        <v>295</v>
      </c>
      <c r="AW255" s="34" t="n">
        <f aca="false">0.55*AV255</f>
        <v>162.25</v>
      </c>
      <c r="AX255" s="34"/>
      <c r="AY255" s="33" t="n">
        <v>0.08</v>
      </c>
    </row>
    <row r="256" customFormat="false" ht="15" hidden="false" customHeight="false" outlineLevel="0" collapsed="false">
      <c r="A256" s="16" t="s">
        <v>90</v>
      </c>
      <c r="B256" s="2" t="s">
        <v>57</v>
      </c>
      <c r="C256" s="32" t="n">
        <v>8.13</v>
      </c>
      <c r="D256" s="23" t="n">
        <v>17.3</v>
      </c>
      <c r="E256" s="33" t="n">
        <v>54.8</v>
      </c>
      <c r="F256" s="34" t="n">
        <f aca="false">0.6*E256</f>
        <v>32.88</v>
      </c>
      <c r="G256" s="33" t="n">
        <v>1.06</v>
      </c>
      <c r="H256" s="33" t="n">
        <v>8.12</v>
      </c>
      <c r="I256" s="23" t="n">
        <v>17</v>
      </c>
      <c r="J256" s="49"/>
      <c r="K256" s="49"/>
      <c r="L256" s="33" t="n">
        <v>2.23</v>
      </c>
      <c r="M256" s="33" t="n">
        <v>8.12</v>
      </c>
      <c r="N256" s="23" t="n">
        <v>17</v>
      </c>
      <c r="O256" s="49"/>
      <c r="P256" s="49"/>
      <c r="Q256" s="33" t="n">
        <v>1.95</v>
      </c>
      <c r="R256" s="34" t="n">
        <v>8.08</v>
      </c>
      <c r="S256" s="19" t="n">
        <v>17.3</v>
      </c>
      <c r="T256" s="49"/>
      <c r="U256" s="49"/>
      <c r="V256" s="34" t="n">
        <v>0</v>
      </c>
      <c r="W256" s="33" t="n">
        <v>8.08</v>
      </c>
      <c r="X256" s="23" t="n">
        <v>17.3</v>
      </c>
      <c r="Y256" s="49"/>
      <c r="Z256" s="49"/>
      <c r="AA256" s="34" t="n">
        <v>0</v>
      </c>
      <c r="AB256" s="33" t="n">
        <v>8.03</v>
      </c>
      <c r="AC256" s="23" t="n">
        <v>17.6</v>
      </c>
      <c r="AD256" s="33" t="n">
        <v>54.7</v>
      </c>
      <c r="AE256" s="34" t="n">
        <f aca="false">0.6*AD256</f>
        <v>32.82</v>
      </c>
      <c r="AF256" s="33"/>
      <c r="AG256" s="34" t="n">
        <v>0</v>
      </c>
      <c r="AH256" s="45"/>
      <c r="AI256" s="33" t="n">
        <v>8.03</v>
      </c>
      <c r="AJ256" s="23" t="n">
        <v>17.6</v>
      </c>
      <c r="AK256" s="33" t="n">
        <v>54.7</v>
      </c>
      <c r="AL256" s="34" t="n">
        <f aca="false">0.6*AK256</f>
        <v>32.82</v>
      </c>
      <c r="AM256" s="33"/>
      <c r="AN256" s="34" t="n">
        <v>0</v>
      </c>
      <c r="AO256" s="2" t="n">
        <v>6.03</v>
      </c>
      <c r="AP256" s="23" t="n">
        <v>17.8</v>
      </c>
      <c r="AQ256" s="33" t="n">
        <v>183.8</v>
      </c>
      <c r="AR256" s="34" t="n">
        <f aca="false">0.55*AQ256</f>
        <v>101.09</v>
      </c>
      <c r="AS256" s="34" t="n">
        <v>0</v>
      </c>
      <c r="AT256" s="33" t="n">
        <v>7.43</v>
      </c>
      <c r="AU256" s="23" t="n">
        <v>17.8</v>
      </c>
      <c r="AV256" s="33" t="n">
        <v>290</v>
      </c>
      <c r="AW256" s="34" t="n">
        <f aca="false">0.55*AV256</f>
        <v>159.5</v>
      </c>
      <c r="AX256" s="34"/>
      <c r="AY256" s="34" t="n">
        <v>0</v>
      </c>
    </row>
    <row r="257" customFormat="false" ht="15" hidden="false" customHeight="false" outlineLevel="0" collapsed="false">
      <c r="A257" s="16" t="s">
        <v>91</v>
      </c>
      <c r="B257" s="2" t="s">
        <v>51</v>
      </c>
      <c r="C257" s="32" t="n">
        <v>8.13</v>
      </c>
      <c r="D257" s="23" t="n">
        <v>17.3</v>
      </c>
      <c r="E257" s="33" t="n">
        <v>54.9</v>
      </c>
      <c r="F257" s="34" t="n">
        <f aca="false">0.6*E257</f>
        <v>32.94</v>
      </c>
      <c r="G257" s="33" t="n">
        <v>0.64</v>
      </c>
      <c r="H257" s="33" t="n">
        <v>8.1</v>
      </c>
      <c r="I257" s="23" t="n">
        <v>17.6</v>
      </c>
      <c r="J257" s="49"/>
      <c r="K257" s="37"/>
      <c r="L257" s="33" t="n">
        <v>2.44</v>
      </c>
      <c r="M257" s="33" t="n">
        <v>8.1</v>
      </c>
      <c r="N257" s="23" t="n">
        <v>17.6</v>
      </c>
      <c r="O257" s="49"/>
      <c r="P257" s="37"/>
      <c r="Q257" s="33" t="n">
        <v>2.61</v>
      </c>
      <c r="R257" s="33" t="n">
        <v>8.08</v>
      </c>
      <c r="S257" s="23" t="n">
        <v>17.8</v>
      </c>
      <c r="T257" s="49"/>
      <c r="U257" s="37"/>
      <c r="V257" s="34" t="n">
        <v>0</v>
      </c>
      <c r="W257" s="33" t="n">
        <v>8.08</v>
      </c>
      <c r="X257" s="23" t="n">
        <v>17.8</v>
      </c>
      <c r="Y257" s="49"/>
      <c r="Z257" s="37"/>
      <c r="AA257" s="34" t="n">
        <v>0</v>
      </c>
      <c r="AB257" s="33" t="n">
        <v>8.05</v>
      </c>
      <c r="AC257" s="23" t="n">
        <v>17.9</v>
      </c>
      <c r="AD257" s="33" t="n">
        <v>54.8</v>
      </c>
      <c r="AE257" s="34" t="n">
        <f aca="false">0.6*AD257</f>
        <v>32.88</v>
      </c>
      <c r="AF257" s="33"/>
      <c r="AG257" s="34" t="n">
        <v>0</v>
      </c>
      <c r="AH257" s="33"/>
      <c r="AI257" s="33" t="n">
        <v>8.05</v>
      </c>
      <c r="AJ257" s="23" t="n">
        <v>17.9</v>
      </c>
      <c r="AK257" s="33" t="n">
        <v>54.8</v>
      </c>
      <c r="AL257" s="34" t="n">
        <f aca="false">0.6*AK257</f>
        <v>32.88</v>
      </c>
      <c r="AM257" s="33"/>
      <c r="AN257" s="34" t="n">
        <v>0</v>
      </c>
      <c r="AO257" s="2" t="n">
        <v>6.21</v>
      </c>
      <c r="AP257" s="23" t="n">
        <v>17.3</v>
      </c>
      <c r="AQ257" s="33" t="n">
        <v>204</v>
      </c>
      <c r="AR257" s="34" t="n">
        <f aca="false">0.55*AQ257</f>
        <v>112.2</v>
      </c>
      <c r="AS257" s="34" t="n">
        <v>0</v>
      </c>
      <c r="AT257" s="33" t="n">
        <v>7.01</v>
      </c>
      <c r="AU257" s="23" t="n">
        <v>17.6</v>
      </c>
      <c r="AV257" s="33" t="n">
        <v>286</v>
      </c>
      <c r="AW257" s="23"/>
      <c r="AX257" s="34" t="n">
        <v>1</v>
      </c>
      <c r="AY257" s="34" t="n">
        <v>0</v>
      </c>
    </row>
    <row r="258" customFormat="false" ht="15" hidden="false" customHeight="false" outlineLevel="0" collapsed="false">
      <c r="A258" s="16" t="s">
        <v>91</v>
      </c>
      <c r="B258" s="2" t="s">
        <v>52</v>
      </c>
      <c r="C258" s="32" t="n">
        <v>8.13</v>
      </c>
      <c r="D258" s="23" t="n">
        <v>19</v>
      </c>
      <c r="E258" s="33" t="n">
        <v>54.4</v>
      </c>
      <c r="F258" s="34" t="n">
        <f aca="false">0.6*E258</f>
        <v>32.64</v>
      </c>
      <c r="G258" s="33" t="n">
        <v>0.5</v>
      </c>
      <c r="H258" s="33" t="n">
        <v>8.09</v>
      </c>
      <c r="I258" s="23" t="n">
        <v>17.4</v>
      </c>
      <c r="J258" s="49"/>
      <c r="K258" s="49"/>
      <c r="L258" s="33" t="n">
        <v>1.91</v>
      </c>
      <c r="M258" s="33" t="n">
        <v>8.09</v>
      </c>
      <c r="N258" s="23" t="n">
        <v>17.4</v>
      </c>
      <c r="O258" s="49"/>
      <c r="P258" s="49"/>
      <c r="Q258" s="33" t="n">
        <v>1.61</v>
      </c>
      <c r="R258" s="34" t="n">
        <v>8.07</v>
      </c>
      <c r="S258" s="19" t="n">
        <v>17.2</v>
      </c>
      <c r="T258" s="49"/>
      <c r="U258" s="49"/>
      <c r="V258" s="34" t="n">
        <v>0</v>
      </c>
      <c r="W258" s="33" t="n">
        <v>8.07</v>
      </c>
      <c r="X258" s="23" t="n">
        <v>17.2</v>
      </c>
      <c r="Y258" s="49"/>
      <c r="Z258" s="49"/>
      <c r="AA258" s="34" t="n">
        <v>0</v>
      </c>
      <c r="AB258" s="33" t="n">
        <v>8.05</v>
      </c>
      <c r="AC258" s="23" t="n">
        <v>17.2</v>
      </c>
      <c r="AD258" s="33" t="n">
        <v>54.4</v>
      </c>
      <c r="AE258" s="34" t="n">
        <f aca="false">0.6*AD258</f>
        <v>32.64</v>
      </c>
      <c r="AF258" s="33"/>
      <c r="AG258" s="34" t="n">
        <v>0</v>
      </c>
      <c r="AH258" s="33" t="s">
        <v>75</v>
      </c>
      <c r="AI258" s="33" t="n">
        <v>8.05</v>
      </c>
      <c r="AJ258" s="23" t="n">
        <v>17.2</v>
      </c>
      <c r="AK258" s="33" t="n">
        <v>54.4</v>
      </c>
      <c r="AL258" s="34" t="n">
        <f aca="false">0.6*AK258</f>
        <v>32.64</v>
      </c>
      <c r="AM258" s="33"/>
      <c r="AN258" s="34" t="n">
        <v>0</v>
      </c>
      <c r="AO258" s="2" t="n">
        <v>6.14</v>
      </c>
      <c r="AP258" s="23" t="n">
        <v>17.7</v>
      </c>
      <c r="AQ258" s="33" t="n">
        <v>202</v>
      </c>
      <c r="AR258" s="34" t="n">
        <f aca="false">0.55*AQ258</f>
        <v>111.1</v>
      </c>
      <c r="AS258" s="34" t="n">
        <v>0</v>
      </c>
      <c r="AT258" s="33" t="n">
        <v>7.1</v>
      </c>
      <c r="AU258" s="23" t="n">
        <v>18.4</v>
      </c>
      <c r="AV258" s="33" t="n">
        <v>283</v>
      </c>
      <c r="AW258" s="34" t="n">
        <f aca="false">0.55*AV258</f>
        <v>155.65</v>
      </c>
      <c r="AX258" s="34"/>
      <c r="AY258" s="34" t="n">
        <v>0</v>
      </c>
    </row>
    <row r="259" customFormat="false" ht="15" hidden="false" customHeight="false" outlineLevel="0" collapsed="false">
      <c r="A259" s="16" t="s">
        <v>91</v>
      </c>
      <c r="B259" s="2" t="s">
        <v>57</v>
      </c>
      <c r="C259" s="32" t="n">
        <v>8.14</v>
      </c>
      <c r="D259" s="23" t="n">
        <v>20.6</v>
      </c>
      <c r="E259" s="33" t="n">
        <v>54.5</v>
      </c>
      <c r="F259" s="34" t="n">
        <f aca="false">0.6*E259</f>
        <v>32.7</v>
      </c>
      <c r="G259" s="33" t="n">
        <v>0.62</v>
      </c>
      <c r="H259" s="33" t="n">
        <v>8.06</v>
      </c>
      <c r="I259" s="23" t="n">
        <v>18.4</v>
      </c>
      <c r="J259" s="49"/>
      <c r="K259" s="49"/>
      <c r="L259" s="33" t="n">
        <v>1.93</v>
      </c>
      <c r="M259" s="33" t="n">
        <v>8.06</v>
      </c>
      <c r="N259" s="23" t="n">
        <v>18.4</v>
      </c>
      <c r="O259" s="49"/>
      <c r="P259" s="49"/>
      <c r="Q259" s="33" t="n">
        <v>1.15</v>
      </c>
      <c r="R259" s="34" t="n">
        <v>8.05</v>
      </c>
      <c r="S259" s="19" t="n">
        <v>18.6</v>
      </c>
      <c r="T259" s="49"/>
      <c r="U259" s="49"/>
      <c r="V259" s="34" t="n">
        <v>0</v>
      </c>
      <c r="W259" s="33" t="n">
        <v>8.05</v>
      </c>
      <c r="X259" s="23" t="n">
        <v>18.6</v>
      </c>
      <c r="Y259" s="49"/>
      <c r="Z259" s="49"/>
      <c r="AA259" s="34" t="n">
        <v>0</v>
      </c>
      <c r="AB259" s="33" t="n">
        <v>8.04</v>
      </c>
      <c r="AC259" s="23" t="n">
        <v>18.4</v>
      </c>
      <c r="AD259" s="33" t="n">
        <v>54.4</v>
      </c>
      <c r="AE259" s="34" t="n">
        <f aca="false">0.6*AD259</f>
        <v>32.64</v>
      </c>
      <c r="AF259" s="33"/>
      <c r="AG259" s="34" t="n">
        <v>0</v>
      </c>
      <c r="AH259" s="45"/>
      <c r="AI259" s="33" t="n">
        <v>8.05</v>
      </c>
      <c r="AJ259" s="23" t="n">
        <v>18.4</v>
      </c>
      <c r="AK259" s="33" t="n">
        <v>54.4</v>
      </c>
      <c r="AL259" s="34" t="n">
        <f aca="false">0.6*AK259</f>
        <v>32.64</v>
      </c>
      <c r="AM259" s="33"/>
      <c r="AN259" s="34" t="n">
        <v>0</v>
      </c>
      <c r="AO259" s="2" t="n">
        <v>6.2</v>
      </c>
      <c r="AP259" s="23" t="n">
        <v>19</v>
      </c>
      <c r="AQ259" s="33" t="n">
        <v>204</v>
      </c>
      <c r="AR259" s="34" t="n">
        <f aca="false">0.55*AQ259</f>
        <v>112.2</v>
      </c>
      <c r="AS259" s="34" t="n">
        <v>0</v>
      </c>
      <c r="AT259" s="33" t="n">
        <v>7.13</v>
      </c>
      <c r="AU259" s="23" t="n">
        <v>19.4</v>
      </c>
      <c r="AV259" s="33" t="n">
        <v>284</v>
      </c>
      <c r="AW259" s="34" t="n">
        <f aca="false">0.55*AV259</f>
        <v>156.2</v>
      </c>
      <c r="AX259" s="34" t="n">
        <v>1</v>
      </c>
      <c r="AY259" s="34" t="n">
        <v>0.27</v>
      </c>
    </row>
    <row r="260" customFormat="false" ht="15" hidden="false" customHeight="false" outlineLevel="0" collapsed="false">
      <c r="A260" s="16" t="s">
        <v>92</v>
      </c>
      <c r="B260" s="2" t="s">
        <v>51</v>
      </c>
      <c r="C260" s="32" t="n">
        <v>8.13</v>
      </c>
      <c r="D260" s="23" t="n">
        <v>18.6</v>
      </c>
      <c r="E260" s="33" t="n">
        <v>54.6</v>
      </c>
      <c r="F260" s="34" t="n">
        <f aca="false">0.6*E260</f>
        <v>32.76</v>
      </c>
      <c r="G260" s="33" t="n">
        <v>0.56</v>
      </c>
      <c r="H260" s="33" t="n">
        <v>8.1</v>
      </c>
      <c r="I260" s="23" t="n">
        <v>18.7</v>
      </c>
      <c r="J260" s="49"/>
      <c r="K260" s="37"/>
      <c r="L260" s="33" t="n">
        <v>1.27</v>
      </c>
      <c r="M260" s="33" t="n">
        <v>8.1</v>
      </c>
      <c r="N260" s="23" t="n">
        <v>18.7</v>
      </c>
      <c r="O260" s="49"/>
      <c r="P260" s="37"/>
      <c r="Q260" s="33" t="n">
        <v>1.52</v>
      </c>
      <c r="R260" s="33" t="n">
        <v>8.03</v>
      </c>
      <c r="S260" s="23" t="n">
        <v>17.7</v>
      </c>
      <c r="T260" s="49"/>
      <c r="U260" s="37"/>
      <c r="V260" s="34" t="n">
        <v>0</v>
      </c>
      <c r="W260" s="33" t="n">
        <v>8.03</v>
      </c>
      <c r="X260" s="23" t="n">
        <v>17.7</v>
      </c>
      <c r="Y260" s="49"/>
      <c r="Z260" s="37"/>
      <c r="AA260" s="34" t="n">
        <v>0</v>
      </c>
      <c r="AB260" s="33" t="n">
        <v>7.95</v>
      </c>
      <c r="AC260" s="23" t="n">
        <v>17.5</v>
      </c>
      <c r="AD260" s="33" t="n">
        <v>54.4</v>
      </c>
      <c r="AE260" s="34" t="n">
        <f aca="false">0.6*AD260</f>
        <v>32.64</v>
      </c>
      <c r="AF260" s="33"/>
      <c r="AG260" s="34" t="n">
        <v>0</v>
      </c>
      <c r="AH260" s="33"/>
      <c r="AI260" s="33" t="n">
        <v>7.95</v>
      </c>
      <c r="AJ260" s="23" t="n">
        <v>17.5</v>
      </c>
      <c r="AK260" s="33" t="n">
        <v>54.4</v>
      </c>
      <c r="AL260" s="34" t="n">
        <f aca="false">0.6*AK260</f>
        <v>32.64</v>
      </c>
      <c r="AM260" s="33"/>
      <c r="AN260" s="34" t="n">
        <v>0</v>
      </c>
      <c r="AO260" s="2" t="n">
        <v>6.03</v>
      </c>
      <c r="AP260" s="23" t="n">
        <v>18.3</v>
      </c>
      <c r="AQ260" s="33" t="n">
        <v>202</v>
      </c>
      <c r="AR260" s="34" t="n">
        <f aca="false">0.55*AQ260</f>
        <v>111.1</v>
      </c>
      <c r="AS260" s="34" t="n">
        <v>0</v>
      </c>
      <c r="AT260" s="33" t="n">
        <v>7.19</v>
      </c>
      <c r="AU260" s="23" t="n">
        <v>18.9</v>
      </c>
      <c r="AV260" s="33" t="n">
        <v>298</v>
      </c>
      <c r="AW260" s="23"/>
      <c r="AX260" s="34" t="n">
        <v>1</v>
      </c>
      <c r="AY260" s="34" t="n">
        <v>0</v>
      </c>
    </row>
    <row r="261" customFormat="false" ht="15" hidden="false" customHeight="false" outlineLevel="0" collapsed="false">
      <c r="A261" s="16" t="s">
        <v>92</v>
      </c>
      <c r="B261" s="2" t="s">
        <v>52</v>
      </c>
      <c r="C261" s="32" t="n">
        <v>8.18</v>
      </c>
      <c r="D261" s="23" t="n">
        <v>19</v>
      </c>
      <c r="E261" s="33" t="n">
        <v>54.4</v>
      </c>
      <c r="F261" s="34" t="n">
        <f aca="false">0.6*E261</f>
        <v>32.64</v>
      </c>
      <c r="G261" s="33" t="n">
        <v>1.17</v>
      </c>
      <c r="H261" s="33" t="n">
        <v>8.16</v>
      </c>
      <c r="I261" s="23" t="n">
        <v>18.9</v>
      </c>
      <c r="J261" s="49"/>
      <c r="K261" s="49"/>
      <c r="L261" s="33" t="n">
        <v>2.21</v>
      </c>
      <c r="M261" s="33" t="n">
        <v>8.16</v>
      </c>
      <c r="N261" s="23" t="n">
        <v>18.9</v>
      </c>
      <c r="O261" s="49"/>
      <c r="P261" s="49"/>
      <c r="Q261" s="33" t="n">
        <v>1.84</v>
      </c>
      <c r="R261" s="34" t="n">
        <v>8.09</v>
      </c>
      <c r="S261" s="19" t="n">
        <v>17.3</v>
      </c>
      <c r="T261" s="49"/>
      <c r="U261" s="49"/>
      <c r="V261" s="34" t="n">
        <v>0</v>
      </c>
      <c r="W261" s="33" t="n">
        <v>8.09</v>
      </c>
      <c r="X261" s="23" t="n">
        <v>17.3</v>
      </c>
      <c r="Y261" s="49"/>
      <c r="Z261" s="49"/>
      <c r="AA261" s="34" t="n">
        <v>0</v>
      </c>
      <c r="AB261" s="33" t="n">
        <v>8.05</v>
      </c>
      <c r="AC261" s="23" t="n">
        <v>17.6</v>
      </c>
      <c r="AD261" s="33" t="n">
        <v>54.4</v>
      </c>
      <c r="AE261" s="34" t="n">
        <f aca="false">0.6*AD261</f>
        <v>32.64</v>
      </c>
      <c r="AF261" s="33"/>
      <c r="AG261" s="34" t="n">
        <v>0</v>
      </c>
      <c r="AH261" s="33" t="s">
        <v>75</v>
      </c>
      <c r="AI261" s="33" t="n">
        <v>8.05</v>
      </c>
      <c r="AJ261" s="23" t="n">
        <v>17.6</v>
      </c>
      <c r="AK261" s="33" t="n">
        <v>54.4</v>
      </c>
      <c r="AL261" s="34" t="n">
        <f aca="false">0.6*AK261</f>
        <v>32.64</v>
      </c>
      <c r="AM261" s="33"/>
      <c r="AN261" s="34" t="n">
        <v>0</v>
      </c>
      <c r="AO261" s="2" t="n">
        <v>6</v>
      </c>
      <c r="AP261" s="23" t="n">
        <v>18.5</v>
      </c>
      <c r="AQ261" s="33" t="n">
        <v>202</v>
      </c>
      <c r="AR261" s="34" t="n">
        <f aca="false">0.55*AQ261</f>
        <v>111.1</v>
      </c>
      <c r="AS261" s="34" t="n">
        <v>0</v>
      </c>
      <c r="AT261" s="33" t="n">
        <v>7.33</v>
      </c>
      <c r="AU261" s="23" t="n">
        <v>18.8</v>
      </c>
      <c r="AV261" s="33" t="n">
        <v>283</v>
      </c>
      <c r="AW261" s="34" t="n">
        <f aca="false">0.55*AV261</f>
        <v>155.65</v>
      </c>
      <c r="AX261" s="34" t="n">
        <v>1</v>
      </c>
      <c r="AY261" s="34" t="n">
        <v>0</v>
      </c>
    </row>
    <row r="262" customFormat="false" ht="15" hidden="false" customHeight="false" outlineLevel="0" collapsed="false">
      <c r="A262" s="16" t="s">
        <v>92</v>
      </c>
      <c r="B262" s="2" t="s">
        <v>57</v>
      </c>
      <c r="C262" s="32" t="n">
        <v>8.21</v>
      </c>
      <c r="D262" s="23" t="n">
        <v>19</v>
      </c>
      <c r="E262" s="33" t="n">
        <v>54.5</v>
      </c>
      <c r="F262" s="34" t="n">
        <f aca="false">0.6*E262</f>
        <v>32.7</v>
      </c>
      <c r="G262" s="33" t="n">
        <v>0.66</v>
      </c>
      <c r="H262" s="33" t="n">
        <v>8.13</v>
      </c>
      <c r="I262" s="23" t="n">
        <v>18.2</v>
      </c>
      <c r="J262" s="49"/>
      <c r="K262" s="49"/>
      <c r="L262" s="33" t="n">
        <v>2.25</v>
      </c>
      <c r="M262" s="33" t="n">
        <v>8.13</v>
      </c>
      <c r="N262" s="23" t="n">
        <v>18.6</v>
      </c>
      <c r="O262" s="49"/>
      <c r="P262" s="49"/>
      <c r="Q262" s="33" t="n">
        <v>1.97</v>
      </c>
      <c r="R262" s="34" t="n">
        <v>8.12</v>
      </c>
      <c r="S262" s="19" t="n">
        <v>17.6</v>
      </c>
      <c r="T262" s="49"/>
      <c r="U262" s="49"/>
      <c r="V262" s="34" t="n">
        <v>0</v>
      </c>
      <c r="W262" s="33" t="n">
        <v>8.12</v>
      </c>
      <c r="X262" s="23" t="n">
        <v>17.6</v>
      </c>
      <c r="Y262" s="49"/>
      <c r="Z262" s="49"/>
      <c r="AA262" s="34" t="n">
        <v>0</v>
      </c>
      <c r="AB262" s="33" t="n">
        <v>8.07</v>
      </c>
      <c r="AC262" s="23" t="n">
        <v>17.8</v>
      </c>
      <c r="AD262" s="33" t="n">
        <v>54.4</v>
      </c>
      <c r="AE262" s="34" t="n">
        <f aca="false">0.6*AD262</f>
        <v>32.64</v>
      </c>
      <c r="AF262" s="33"/>
      <c r="AG262" s="34" t="n">
        <v>0</v>
      </c>
      <c r="AH262" s="45"/>
      <c r="AI262" s="33" t="n">
        <v>8.07</v>
      </c>
      <c r="AJ262" s="23" t="n">
        <v>17.8</v>
      </c>
      <c r="AK262" s="33" t="n">
        <v>54.4</v>
      </c>
      <c r="AL262" s="34" t="n">
        <f aca="false">0.6*AK262</f>
        <v>32.64</v>
      </c>
      <c r="AM262" s="33"/>
      <c r="AN262" s="34" t="n">
        <v>0</v>
      </c>
      <c r="AO262" s="2" t="n">
        <v>6.01</v>
      </c>
      <c r="AP262" s="23" t="n">
        <v>18.3</v>
      </c>
      <c r="AQ262" s="33" t="n">
        <v>204</v>
      </c>
      <c r="AR262" s="34" t="n">
        <f aca="false">0.55*AQ262</f>
        <v>112.2</v>
      </c>
      <c r="AS262" s="34" t="n">
        <v>0</v>
      </c>
      <c r="AT262" s="33" t="n">
        <v>7.23</v>
      </c>
      <c r="AU262" s="23" t="n">
        <v>18.8</v>
      </c>
      <c r="AV262" s="33" t="n">
        <v>284</v>
      </c>
      <c r="AW262" s="34" t="n">
        <f aca="false">0.55*AV262</f>
        <v>156.2</v>
      </c>
      <c r="AX262" s="34" t="n">
        <v>1</v>
      </c>
      <c r="AY262" s="34" t="n">
        <v>0.01</v>
      </c>
    </row>
    <row r="263" customFormat="false" ht="15" hidden="false" customHeight="false" outlineLevel="0" collapsed="false">
      <c r="A263" s="16" t="s">
        <v>93</v>
      </c>
      <c r="B263" s="2" t="s">
        <v>51</v>
      </c>
      <c r="C263" s="32" t="n">
        <v>8.15</v>
      </c>
      <c r="D263" s="23" t="n">
        <v>18.6</v>
      </c>
      <c r="E263" s="33" t="n">
        <v>54.5</v>
      </c>
      <c r="F263" s="34" t="n">
        <f aca="false">0.6*E263</f>
        <v>32.7</v>
      </c>
      <c r="G263" s="33" t="n">
        <v>0.62</v>
      </c>
      <c r="H263" s="33" t="n">
        <v>8.13</v>
      </c>
      <c r="I263" s="23" t="n">
        <v>18.7</v>
      </c>
      <c r="J263" s="49"/>
      <c r="K263" s="37"/>
      <c r="L263" s="33" t="n">
        <v>1.21</v>
      </c>
      <c r="M263" s="33" t="n">
        <v>8.13</v>
      </c>
      <c r="N263" s="23" t="n">
        <v>18.7</v>
      </c>
      <c r="O263" s="49"/>
      <c r="P263" s="37"/>
      <c r="Q263" s="33" t="n">
        <v>1.15</v>
      </c>
      <c r="R263" s="33" t="n">
        <v>8.1</v>
      </c>
      <c r="S263" s="23" t="n">
        <v>17.7</v>
      </c>
      <c r="T263" s="49"/>
      <c r="U263" s="37"/>
      <c r="V263" s="34" t="n">
        <v>0</v>
      </c>
      <c r="W263" s="33" t="n">
        <v>8.1</v>
      </c>
      <c r="X263" s="23" t="n">
        <v>17.7</v>
      </c>
      <c r="Y263" s="49"/>
      <c r="Z263" s="37"/>
      <c r="AA263" s="34" t="n">
        <v>0</v>
      </c>
      <c r="AB263" s="33" t="n">
        <v>8.05</v>
      </c>
      <c r="AC263" s="23" t="n">
        <v>17.5</v>
      </c>
      <c r="AD263" s="33" t="n">
        <v>54.4</v>
      </c>
      <c r="AE263" s="34" t="n">
        <f aca="false">0.6*AD263</f>
        <v>32.64</v>
      </c>
      <c r="AF263" s="33"/>
      <c r="AG263" s="34" t="n">
        <v>0</v>
      </c>
      <c r="AH263" s="33"/>
      <c r="AI263" s="33" t="n">
        <v>8.05</v>
      </c>
      <c r="AJ263" s="23" t="n">
        <v>17.5</v>
      </c>
      <c r="AK263" s="33" t="n">
        <v>54.4</v>
      </c>
      <c r="AL263" s="34" t="n">
        <f aca="false">0.6*AK263</f>
        <v>32.64</v>
      </c>
      <c r="AM263" s="33"/>
      <c r="AN263" s="34" t="n">
        <v>0</v>
      </c>
      <c r="AO263" s="2" t="n">
        <v>6.03</v>
      </c>
      <c r="AP263" s="23" t="n">
        <v>18.3</v>
      </c>
      <c r="AQ263" s="33" t="n">
        <v>197.3</v>
      </c>
      <c r="AR263" s="34" t="n">
        <f aca="false">0.55*AQ263</f>
        <v>108.515</v>
      </c>
      <c r="AS263" s="34" t="n">
        <v>0</v>
      </c>
      <c r="AT263" s="33" t="n">
        <v>7.19</v>
      </c>
      <c r="AU263" s="23" t="n">
        <v>19.1</v>
      </c>
      <c r="AV263" s="33" t="n">
        <v>298</v>
      </c>
      <c r="AW263" s="23"/>
      <c r="AX263" s="34" t="n">
        <v>1</v>
      </c>
      <c r="AY263" s="34" t="n">
        <v>0</v>
      </c>
    </row>
    <row r="264" customFormat="false" ht="15" hidden="false" customHeight="false" outlineLevel="0" collapsed="false">
      <c r="A264" s="16" t="s">
        <v>93</v>
      </c>
      <c r="B264" s="2" t="s">
        <v>52</v>
      </c>
      <c r="C264" s="32" t="n">
        <v>8.13</v>
      </c>
      <c r="D264" s="23" t="n">
        <v>18.8</v>
      </c>
      <c r="E264" s="33" t="n">
        <v>54.5</v>
      </c>
      <c r="F264" s="34" t="n">
        <f aca="false">0.6*E264</f>
        <v>32.7</v>
      </c>
      <c r="G264" s="33" t="n">
        <v>0.26</v>
      </c>
      <c r="H264" s="33" t="n">
        <v>8.01</v>
      </c>
      <c r="I264" s="23" t="n">
        <v>17.3</v>
      </c>
      <c r="J264" s="49"/>
      <c r="K264" s="49"/>
      <c r="L264" s="33" t="n">
        <v>1.29</v>
      </c>
      <c r="M264" s="33" t="n">
        <v>8.01</v>
      </c>
      <c r="N264" s="23" t="n">
        <v>17.2</v>
      </c>
      <c r="O264" s="49"/>
      <c r="P264" s="49"/>
      <c r="Q264" s="33" t="n">
        <v>1.18</v>
      </c>
      <c r="R264" s="34" t="n">
        <v>8</v>
      </c>
      <c r="S264" s="19" t="n">
        <v>17.2</v>
      </c>
      <c r="T264" s="49"/>
      <c r="U264" s="49"/>
      <c r="V264" s="34" t="n">
        <v>0</v>
      </c>
      <c r="W264" s="33" t="n">
        <v>8</v>
      </c>
      <c r="X264" s="23" t="n">
        <v>17.2</v>
      </c>
      <c r="Y264" s="49"/>
      <c r="Z264" s="49"/>
      <c r="AA264" s="34" t="n">
        <v>0</v>
      </c>
      <c r="AB264" s="33" t="n">
        <v>7.95</v>
      </c>
      <c r="AC264" s="23" t="n">
        <v>17.5</v>
      </c>
      <c r="AD264" s="33" t="n">
        <v>54.5</v>
      </c>
      <c r="AE264" s="34" t="n">
        <f aca="false">0.6*AD264</f>
        <v>32.7</v>
      </c>
      <c r="AF264" s="33"/>
      <c r="AG264" s="34" t="n">
        <v>0</v>
      </c>
      <c r="AH264" s="33" t="s">
        <v>75</v>
      </c>
      <c r="AI264" s="33" t="n">
        <v>7.95</v>
      </c>
      <c r="AJ264" s="23" t="n">
        <v>17.5</v>
      </c>
      <c r="AK264" s="33" t="n">
        <v>54.5</v>
      </c>
      <c r="AL264" s="34" t="n">
        <f aca="false">0.6*AK264</f>
        <v>32.7</v>
      </c>
      <c r="AM264" s="33"/>
      <c r="AN264" s="34" t="n">
        <v>0</v>
      </c>
      <c r="AO264" s="2" t="n">
        <v>6.08</v>
      </c>
      <c r="AP264" s="23" t="n">
        <v>18.2</v>
      </c>
      <c r="AQ264" s="33" t="n">
        <v>187</v>
      </c>
      <c r="AR264" s="34" t="n">
        <f aca="false">0.55*AQ264</f>
        <v>102.85</v>
      </c>
      <c r="AS264" s="34" t="n">
        <v>0</v>
      </c>
      <c r="AT264" s="33" t="n">
        <v>7.13</v>
      </c>
      <c r="AU264" s="23" t="n">
        <v>18.7</v>
      </c>
      <c r="AV264" s="33" t="n">
        <v>296</v>
      </c>
      <c r="AW264" s="34" t="n">
        <f aca="false">0.55*AV264</f>
        <v>162.8</v>
      </c>
      <c r="AX264" s="34"/>
      <c r="AY264" s="34" t="n">
        <v>0.05</v>
      </c>
    </row>
    <row r="265" customFormat="false" ht="15" hidden="false" customHeight="false" outlineLevel="0" collapsed="false">
      <c r="A265" s="16" t="s">
        <v>93</v>
      </c>
      <c r="B265" s="2" t="s">
        <v>57</v>
      </c>
      <c r="C265" s="32" t="n">
        <v>8.04</v>
      </c>
      <c r="D265" s="23" t="n">
        <v>19</v>
      </c>
      <c r="E265" s="33" t="n">
        <v>54.4</v>
      </c>
      <c r="F265" s="34" t="n">
        <f aca="false">0.6*E265</f>
        <v>32.64</v>
      </c>
      <c r="G265" s="33" t="n">
        <v>0.43</v>
      </c>
      <c r="H265" s="33" t="n">
        <v>8.03</v>
      </c>
      <c r="I265" s="23" t="n">
        <v>18.2</v>
      </c>
      <c r="J265" s="49"/>
      <c r="K265" s="49"/>
      <c r="L265" s="33" t="n">
        <v>1.12</v>
      </c>
      <c r="M265" s="33" t="n">
        <v>8.03</v>
      </c>
      <c r="N265" s="23" t="n">
        <v>18.2</v>
      </c>
      <c r="O265" s="49"/>
      <c r="P265" s="49"/>
      <c r="Q265" s="33" t="n">
        <v>1.32</v>
      </c>
      <c r="R265" s="34" t="n">
        <v>8</v>
      </c>
      <c r="S265" s="19" t="n">
        <v>18</v>
      </c>
      <c r="T265" s="49"/>
      <c r="U265" s="49"/>
      <c r="V265" s="34" t="n">
        <v>0</v>
      </c>
      <c r="W265" s="33" t="n">
        <v>8</v>
      </c>
      <c r="X265" s="23" t="n">
        <v>18</v>
      </c>
      <c r="Y265" s="49"/>
      <c r="Z265" s="49"/>
      <c r="AA265" s="34" t="n">
        <v>0</v>
      </c>
      <c r="AB265" s="33" t="n">
        <v>7.92</v>
      </c>
      <c r="AC265" s="23" t="n">
        <v>17.9</v>
      </c>
      <c r="AD265" s="33" t="n">
        <v>54.2</v>
      </c>
      <c r="AE265" s="34" t="n">
        <f aca="false">0.6*AD265</f>
        <v>32.52</v>
      </c>
      <c r="AF265" s="33"/>
      <c r="AG265" s="34" t="n">
        <v>0</v>
      </c>
      <c r="AH265" s="45"/>
      <c r="AI265" s="33" t="n">
        <v>7.92</v>
      </c>
      <c r="AJ265" s="23" t="n">
        <v>18</v>
      </c>
      <c r="AK265" s="33" t="n">
        <v>54.2</v>
      </c>
      <c r="AL265" s="34" t="n">
        <f aca="false">0.6*AK265</f>
        <v>32.52</v>
      </c>
      <c r="AM265" s="33"/>
      <c r="AN265" s="34" t="n">
        <v>0</v>
      </c>
      <c r="AO265" s="2" t="n">
        <v>6.01</v>
      </c>
      <c r="AP265" s="23" t="n">
        <v>17.9</v>
      </c>
      <c r="AQ265" s="33" t="n">
        <v>188.4</v>
      </c>
      <c r="AR265" s="34" t="n">
        <f aca="false">0.55*AQ265</f>
        <v>103.62</v>
      </c>
      <c r="AS265" s="34" t="n">
        <v>0</v>
      </c>
      <c r="AT265" s="33" t="n">
        <v>7.27</v>
      </c>
      <c r="AU265" s="23" t="n">
        <v>18.3</v>
      </c>
      <c r="AV265" s="33" t="n">
        <v>298</v>
      </c>
      <c r="AW265" s="34" t="n">
        <f aca="false">0.55*AV265</f>
        <v>163.9</v>
      </c>
      <c r="AX265" s="34" t="n">
        <v>1</v>
      </c>
      <c r="AY265" s="34" t="n">
        <v>0.04</v>
      </c>
    </row>
    <row r="266" customFormat="false" ht="15" hidden="false" customHeight="false" outlineLevel="0" collapsed="false">
      <c r="A266" s="16" t="s">
        <v>94</v>
      </c>
      <c r="B266" s="2" t="s">
        <v>51</v>
      </c>
      <c r="C266" s="29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</row>
    <row r="267" customFormat="false" ht="15" hidden="false" customHeight="false" outlineLevel="0" collapsed="false">
      <c r="A267" s="16" t="s">
        <v>94</v>
      </c>
      <c r="B267" s="2" t="s">
        <v>52</v>
      </c>
      <c r="C267" s="29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</row>
    <row r="268" customFormat="false" ht="15" hidden="false" customHeight="false" outlineLevel="0" collapsed="false">
      <c r="A268" s="16" t="s">
        <v>94</v>
      </c>
      <c r="B268" s="2" t="s">
        <v>57</v>
      </c>
      <c r="C268" s="29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</row>
    <row r="269" customFormat="false" ht="15" hidden="false" customHeight="false" outlineLevel="0" collapsed="false">
      <c r="A269" s="16" t="n">
        <v>45295</v>
      </c>
      <c r="B269" s="2" t="s">
        <v>51</v>
      </c>
      <c r="C269" s="32" t="n">
        <v>8.05</v>
      </c>
      <c r="D269" s="23" t="n">
        <v>18.2</v>
      </c>
      <c r="E269" s="33" t="n">
        <v>54.4</v>
      </c>
      <c r="F269" s="34" t="n">
        <f aca="false">0.6*E269</f>
        <v>32.64</v>
      </c>
      <c r="G269" s="33" t="n">
        <v>0.38</v>
      </c>
      <c r="H269" s="33" t="n">
        <v>8.02</v>
      </c>
      <c r="I269" s="23" t="n">
        <v>18.2</v>
      </c>
      <c r="J269" s="49"/>
      <c r="K269" s="37"/>
      <c r="L269" s="33" t="n">
        <v>1.28</v>
      </c>
      <c r="M269" s="33" t="n">
        <v>8.02</v>
      </c>
      <c r="N269" s="23" t="n">
        <v>18.2</v>
      </c>
      <c r="O269" s="49"/>
      <c r="P269" s="37"/>
      <c r="Q269" s="33" t="n">
        <v>1.15</v>
      </c>
      <c r="R269" s="33" t="n">
        <v>8</v>
      </c>
      <c r="S269" s="23" t="n">
        <v>17.7</v>
      </c>
      <c r="T269" s="49"/>
      <c r="U269" s="37"/>
      <c r="V269" s="34" t="n">
        <v>0</v>
      </c>
      <c r="W269" s="33" t="n">
        <v>8</v>
      </c>
      <c r="X269" s="23" t="n">
        <v>17.7</v>
      </c>
      <c r="Y269" s="49"/>
      <c r="Z269" s="37"/>
      <c r="AA269" s="34" t="n">
        <v>0</v>
      </c>
      <c r="AB269" s="33" t="n">
        <v>7.9</v>
      </c>
      <c r="AC269" s="23" t="n">
        <v>17.6</v>
      </c>
      <c r="AD269" s="33" t="n">
        <v>54.4</v>
      </c>
      <c r="AE269" s="34" t="n">
        <f aca="false">0.6*AD269</f>
        <v>32.64</v>
      </c>
      <c r="AF269" s="33"/>
      <c r="AG269" s="34" t="n">
        <v>0</v>
      </c>
      <c r="AH269" s="33"/>
      <c r="AI269" s="33" t="n">
        <v>7.9</v>
      </c>
      <c r="AJ269" s="23" t="n">
        <v>17.6</v>
      </c>
      <c r="AK269" s="33" t="n">
        <v>54.4</v>
      </c>
      <c r="AL269" s="34" t="n">
        <f aca="false">0.6*AK269</f>
        <v>32.64</v>
      </c>
      <c r="AM269" s="33"/>
      <c r="AN269" s="34" t="n">
        <v>0</v>
      </c>
      <c r="AO269" s="33" t="n">
        <v>6.11</v>
      </c>
      <c r="AP269" s="23" t="n">
        <v>18.7</v>
      </c>
      <c r="AQ269" s="33" t="n">
        <v>204</v>
      </c>
      <c r="AR269" s="34" t="n">
        <f aca="false">0.55*AQ269</f>
        <v>112.2</v>
      </c>
      <c r="AS269" s="34" t="n">
        <v>0</v>
      </c>
      <c r="AT269" s="33" t="n">
        <v>7.12</v>
      </c>
      <c r="AU269" s="23" t="n">
        <v>18.4</v>
      </c>
      <c r="AV269" s="33" t="n">
        <v>300</v>
      </c>
      <c r="AW269" s="34" t="n">
        <f aca="false">0.55*AV269</f>
        <v>165</v>
      </c>
      <c r="AX269" s="34" t="n">
        <v>1</v>
      </c>
      <c r="AY269" s="34" t="n">
        <v>0</v>
      </c>
    </row>
    <row r="270" customFormat="false" ht="15" hidden="false" customHeight="false" outlineLevel="0" collapsed="false">
      <c r="A270" s="16" t="n">
        <v>45295</v>
      </c>
      <c r="B270" s="2" t="s">
        <v>52</v>
      </c>
      <c r="C270" s="32" t="n">
        <v>8.11</v>
      </c>
      <c r="D270" s="23" t="n">
        <v>18.4</v>
      </c>
      <c r="E270" s="33" t="n">
        <v>54.4</v>
      </c>
      <c r="F270" s="34" t="n">
        <f aca="false">0.6*E270</f>
        <v>32.64</v>
      </c>
      <c r="G270" s="33" t="n">
        <v>0.12</v>
      </c>
      <c r="H270" s="33" t="n">
        <v>8.05</v>
      </c>
      <c r="I270" s="23" t="n">
        <v>17</v>
      </c>
      <c r="J270" s="49"/>
      <c r="K270" s="49"/>
      <c r="L270" s="33" t="n">
        <v>1.19</v>
      </c>
      <c r="M270" s="33" t="n">
        <v>8.05</v>
      </c>
      <c r="N270" s="23" t="n">
        <v>17</v>
      </c>
      <c r="O270" s="49"/>
      <c r="P270" s="49"/>
      <c r="Q270" s="33" t="n">
        <v>1.01</v>
      </c>
      <c r="R270" s="34" t="n">
        <v>8.02</v>
      </c>
      <c r="S270" s="19" t="n">
        <v>16.9</v>
      </c>
      <c r="T270" s="49"/>
      <c r="U270" s="49"/>
      <c r="V270" s="34" t="n">
        <v>0</v>
      </c>
      <c r="W270" s="33" t="n">
        <v>8.02</v>
      </c>
      <c r="X270" s="23" t="n">
        <v>16.9</v>
      </c>
      <c r="Y270" s="49"/>
      <c r="Z270" s="49"/>
      <c r="AA270" s="34" t="n">
        <v>0</v>
      </c>
      <c r="AB270" s="33" t="n">
        <v>8</v>
      </c>
      <c r="AC270" s="23" t="n">
        <v>17.4</v>
      </c>
      <c r="AD270" s="33" t="n">
        <v>54.4</v>
      </c>
      <c r="AE270" s="34" t="n">
        <f aca="false">0.6*AD270</f>
        <v>32.64</v>
      </c>
      <c r="AF270" s="33"/>
      <c r="AG270" s="34" t="n">
        <v>0</v>
      </c>
      <c r="AH270" s="33" t="s">
        <v>75</v>
      </c>
      <c r="AI270" s="33" t="n">
        <v>8</v>
      </c>
      <c r="AJ270" s="23" t="n">
        <v>17.4</v>
      </c>
      <c r="AK270" s="33" t="n">
        <v>54.4</v>
      </c>
      <c r="AL270" s="34" t="n">
        <f aca="false">0.6*AK270</f>
        <v>32.64</v>
      </c>
      <c r="AM270" s="33"/>
      <c r="AN270" s="34" t="n">
        <v>0</v>
      </c>
      <c r="AO270" s="2" t="n">
        <v>6.16</v>
      </c>
      <c r="AP270" s="23" t="n">
        <v>17.8</v>
      </c>
      <c r="AQ270" s="33" t="n">
        <v>205</v>
      </c>
      <c r="AR270" s="34" t="n">
        <f aca="false">0.55*AQ270</f>
        <v>112.75</v>
      </c>
      <c r="AS270" s="34" t="n">
        <v>0</v>
      </c>
      <c r="AT270" s="33" t="n">
        <v>7.04</v>
      </c>
      <c r="AU270" s="23" t="n">
        <v>18.4</v>
      </c>
      <c r="AV270" s="33" t="n">
        <v>293</v>
      </c>
      <c r="AW270" s="34" t="n">
        <f aca="false">0.55*AV270</f>
        <v>161.15</v>
      </c>
      <c r="AX270" s="34" t="n">
        <v>0.9</v>
      </c>
      <c r="AY270" s="34" t="n">
        <v>0</v>
      </c>
    </row>
    <row r="271" customFormat="false" ht="15" hidden="false" customHeight="false" outlineLevel="0" collapsed="false">
      <c r="A271" s="16" t="n">
        <v>45295</v>
      </c>
      <c r="B271" s="2" t="s">
        <v>57</v>
      </c>
      <c r="C271" s="32" t="n">
        <v>8.08</v>
      </c>
      <c r="D271" s="23" t="n">
        <v>20.3</v>
      </c>
      <c r="E271" s="33" t="n">
        <v>54.4</v>
      </c>
      <c r="F271" s="34" t="n">
        <f aca="false">0.6*E271</f>
        <v>32.64</v>
      </c>
      <c r="G271" s="33" t="n">
        <v>0.66</v>
      </c>
      <c r="H271" s="33" t="n">
        <v>8.05</v>
      </c>
      <c r="I271" s="23" t="n">
        <v>19</v>
      </c>
      <c r="J271" s="49"/>
      <c r="K271" s="49"/>
      <c r="L271" s="33" t="n">
        <v>1.34</v>
      </c>
      <c r="M271" s="33" t="n">
        <v>8.05</v>
      </c>
      <c r="N271" s="23" t="n">
        <v>19</v>
      </c>
      <c r="O271" s="49"/>
      <c r="P271" s="49"/>
      <c r="Q271" s="33" t="n">
        <v>1.23</v>
      </c>
      <c r="R271" s="34" t="n">
        <v>8.03</v>
      </c>
      <c r="S271" s="19" t="n">
        <v>18.3</v>
      </c>
      <c r="T271" s="49"/>
      <c r="U271" s="49"/>
      <c r="V271" s="34" t="n">
        <v>0</v>
      </c>
      <c r="W271" s="33" t="n">
        <v>8.03</v>
      </c>
      <c r="X271" s="23" t="n">
        <v>18.3</v>
      </c>
      <c r="Y271" s="49"/>
      <c r="Z271" s="49"/>
      <c r="AA271" s="34" t="n">
        <v>0</v>
      </c>
      <c r="AB271" s="33" t="n">
        <v>7.96</v>
      </c>
      <c r="AC271" s="23" t="n">
        <v>17.8</v>
      </c>
      <c r="AD271" s="33" t="n">
        <v>54.4</v>
      </c>
      <c r="AE271" s="34" t="n">
        <f aca="false">0.6*AD271</f>
        <v>32.64</v>
      </c>
      <c r="AF271" s="33"/>
      <c r="AG271" s="34" t="n">
        <v>0</v>
      </c>
      <c r="AH271" s="45"/>
      <c r="AI271" s="33" t="n">
        <v>7.96</v>
      </c>
      <c r="AJ271" s="23" t="n">
        <v>17.7</v>
      </c>
      <c r="AK271" s="33" t="n">
        <v>54.45</v>
      </c>
      <c r="AL271" s="34" t="n">
        <f aca="false">0.6*AK271</f>
        <v>32.67</v>
      </c>
      <c r="AM271" s="33"/>
      <c r="AN271" s="34" t="n">
        <v>0</v>
      </c>
      <c r="AO271" s="2" t="n">
        <v>5.81</v>
      </c>
      <c r="AP271" s="23" t="n">
        <v>17.9</v>
      </c>
      <c r="AQ271" s="33" t="n">
        <v>208</v>
      </c>
      <c r="AR271" s="34" t="n">
        <f aca="false">0.55*AQ271</f>
        <v>114.4</v>
      </c>
      <c r="AS271" s="34" t="n">
        <v>0</v>
      </c>
      <c r="AT271" s="33" t="n">
        <v>7.11</v>
      </c>
      <c r="AU271" s="23" t="n">
        <v>18.8</v>
      </c>
      <c r="AV271" s="33" t="n">
        <v>297</v>
      </c>
      <c r="AW271" s="34" t="n">
        <f aca="false">0.55*AV271</f>
        <v>163.35</v>
      </c>
      <c r="AX271" s="34" t="n">
        <v>1</v>
      </c>
      <c r="AY271" s="34" t="n">
        <v>0</v>
      </c>
    </row>
    <row r="272" customFormat="false" ht="15" hidden="false" customHeight="false" outlineLevel="0" collapsed="false">
      <c r="A272" s="16" t="n">
        <v>45326</v>
      </c>
      <c r="B272" s="2" t="s">
        <v>51</v>
      </c>
      <c r="C272" s="32" t="n">
        <v>8.1</v>
      </c>
      <c r="D272" s="23" t="n">
        <v>18.5</v>
      </c>
      <c r="E272" s="33" t="n">
        <v>54.4</v>
      </c>
      <c r="F272" s="34" t="n">
        <f aca="false">0.6*E272</f>
        <v>32.64</v>
      </c>
      <c r="G272" s="33" t="n">
        <v>0.28</v>
      </c>
      <c r="H272" s="33" t="n">
        <v>8.05</v>
      </c>
      <c r="I272" s="23" t="n">
        <v>16.9</v>
      </c>
      <c r="J272" s="49"/>
      <c r="K272" s="37"/>
      <c r="L272" s="33" t="n">
        <v>1.1</v>
      </c>
      <c r="M272" s="33" t="n">
        <v>8.05</v>
      </c>
      <c r="N272" s="23" t="n">
        <v>16.9</v>
      </c>
      <c r="O272" s="49"/>
      <c r="P272" s="37"/>
      <c r="Q272" s="33" t="n">
        <v>1.04</v>
      </c>
      <c r="R272" s="33" t="n">
        <v>8.03</v>
      </c>
      <c r="S272" s="23" t="n">
        <v>16.9</v>
      </c>
      <c r="T272" s="49"/>
      <c r="U272" s="37"/>
      <c r="V272" s="34" t="n">
        <v>0</v>
      </c>
      <c r="W272" s="33" t="n">
        <v>8.03</v>
      </c>
      <c r="X272" s="23" t="n">
        <v>16.8</v>
      </c>
      <c r="Y272" s="49"/>
      <c r="Z272" s="37"/>
      <c r="AA272" s="34" t="n">
        <v>0</v>
      </c>
      <c r="AB272" s="33" t="n">
        <v>8</v>
      </c>
      <c r="AC272" s="23" t="n">
        <v>16.9</v>
      </c>
      <c r="AD272" s="33" t="n">
        <v>54.4</v>
      </c>
      <c r="AE272" s="34" t="n">
        <f aca="false">0.6*AD272</f>
        <v>32.64</v>
      </c>
      <c r="AF272" s="33"/>
      <c r="AG272" s="34" t="n">
        <v>0</v>
      </c>
      <c r="AH272" s="33"/>
      <c r="AI272" s="33" t="n">
        <v>8</v>
      </c>
      <c r="AJ272" s="23" t="n">
        <v>17</v>
      </c>
      <c r="AK272" s="33" t="n">
        <v>54.3</v>
      </c>
      <c r="AL272" s="34" t="n">
        <f aca="false">0.6*AK272</f>
        <v>32.58</v>
      </c>
      <c r="AM272" s="33"/>
      <c r="AN272" s="34" t="n">
        <v>0</v>
      </c>
      <c r="AO272" s="2" t="n">
        <v>6.09</v>
      </c>
      <c r="AP272" s="23" t="n">
        <v>17.7</v>
      </c>
      <c r="AQ272" s="33" t="n">
        <v>196.8</v>
      </c>
      <c r="AR272" s="34" t="n">
        <f aca="false">0.55*AQ272</f>
        <v>108.24</v>
      </c>
      <c r="AS272" s="34" t="n">
        <v>0</v>
      </c>
      <c r="AT272" s="33" t="n">
        <v>7.21</v>
      </c>
      <c r="AU272" s="23" t="n">
        <v>18</v>
      </c>
      <c r="AV272" s="33" t="n">
        <v>302</v>
      </c>
      <c r="AW272" s="34" t="n">
        <f aca="false">0.55*AV272</f>
        <v>166.1</v>
      </c>
      <c r="AX272" s="34" t="n">
        <v>1</v>
      </c>
      <c r="AY272" s="34" t="n">
        <v>0</v>
      </c>
    </row>
    <row r="273" customFormat="false" ht="15" hidden="false" customHeight="false" outlineLevel="0" collapsed="false">
      <c r="A273" s="16" t="n">
        <v>45326</v>
      </c>
      <c r="B273" s="2" t="s">
        <v>52</v>
      </c>
      <c r="C273" s="32" t="n">
        <v>8.11</v>
      </c>
      <c r="D273" s="23" t="n">
        <v>18.3</v>
      </c>
      <c r="E273" s="33" t="n">
        <v>54.3</v>
      </c>
      <c r="F273" s="34" t="n">
        <f aca="false">0.6*E273</f>
        <v>32.58</v>
      </c>
      <c r="G273" s="33" t="n">
        <v>0.47</v>
      </c>
      <c r="H273" s="33" t="n">
        <v>8.06</v>
      </c>
      <c r="I273" s="23" t="n">
        <v>17</v>
      </c>
      <c r="J273" s="49"/>
      <c r="K273" s="49"/>
      <c r="L273" s="33" t="n">
        <v>1.15</v>
      </c>
      <c r="M273" s="33" t="n">
        <v>8.06</v>
      </c>
      <c r="N273" s="23" t="n">
        <v>17</v>
      </c>
      <c r="O273" s="49"/>
      <c r="P273" s="49"/>
      <c r="Q273" s="33" t="n">
        <v>1.09</v>
      </c>
      <c r="R273" s="34" t="n">
        <v>8.03</v>
      </c>
      <c r="S273" s="19" t="n">
        <v>17.2</v>
      </c>
      <c r="T273" s="49"/>
      <c r="U273" s="49"/>
      <c r="V273" s="34" t="n">
        <v>0</v>
      </c>
      <c r="W273" s="33" t="n">
        <v>8.02</v>
      </c>
      <c r="X273" s="23" t="n">
        <v>17.2</v>
      </c>
      <c r="Y273" s="49"/>
      <c r="Z273" s="49"/>
      <c r="AA273" s="34" t="n">
        <v>0</v>
      </c>
      <c r="AB273" s="33" t="n">
        <v>8</v>
      </c>
      <c r="AC273" s="23" t="n">
        <v>17</v>
      </c>
      <c r="AD273" s="33" t="n">
        <v>54.2</v>
      </c>
      <c r="AE273" s="34" t="n">
        <f aca="false">0.6*AD273</f>
        <v>32.52</v>
      </c>
      <c r="AF273" s="33"/>
      <c r="AG273" s="34" t="n">
        <v>0</v>
      </c>
      <c r="AH273" s="33" t="s">
        <v>75</v>
      </c>
      <c r="AI273" s="33" t="n">
        <v>8</v>
      </c>
      <c r="AJ273" s="23" t="n">
        <v>17</v>
      </c>
      <c r="AK273" s="33" t="n">
        <v>54.2</v>
      </c>
      <c r="AL273" s="34" t="n">
        <f aca="false">0.6*AK273</f>
        <v>32.52</v>
      </c>
      <c r="AM273" s="33"/>
      <c r="AN273" s="34" t="n">
        <v>0</v>
      </c>
      <c r="AO273" s="2" t="n">
        <v>6.1</v>
      </c>
      <c r="AP273" s="23" t="n">
        <v>18.3</v>
      </c>
      <c r="AQ273" s="33" t="n">
        <v>202</v>
      </c>
      <c r="AR273" s="34" t="n">
        <f aca="false">0.55*AQ273</f>
        <v>111.1</v>
      </c>
      <c r="AS273" s="34" t="n">
        <v>0</v>
      </c>
      <c r="AT273" s="33" t="n">
        <v>7.37</v>
      </c>
      <c r="AU273" s="23" t="n">
        <v>18.3</v>
      </c>
      <c r="AV273" s="33" t="n">
        <v>298</v>
      </c>
      <c r="AW273" s="34" t="n">
        <f aca="false">0.55*AV273</f>
        <v>163.9</v>
      </c>
      <c r="AX273" s="34"/>
      <c r="AY273" s="34" t="n">
        <v>0.08</v>
      </c>
    </row>
    <row r="274" customFormat="false" ht="15" hidden="false" customHeight="false" outlineLevel="0" collapsed="false">
      <c r="A274" s="16" t="n">
        <v>45326</v>
      </c>
      <c r="B274" s="2" t="s">
        <v>57</v>
      </c>
      <c r="C274" s="32" t="n">
        <v>8.05</v>
      </c>
      <c r="D274" s="23" t="n">
        <v>19.3</v>
      </c>
      <c r="E274" s="33" t="n">
        <v>54.4</v>
      </c>
      <c r="F274" s="34" t="n">
        <f aca="false">0.6*E274</f>
        <v>32.64</v>
      </c>
      <c r="G274" s="33" t="n">
        <v>1.26</v>
      </c>
      <c r="H274" s="33" t="n">
        <v>8.03</v>
      </c>
      <c r="I274" s="23" t="n">
        <v>19.4</v>
      </c>
      <c r="J274" s="49"/>
      <c r="K274" s="49"/>
      <c r="L274" s="33" t="n">
        <v>1.95</v>
      </c>
      <c r="M274" s="33" t="n">
        <v>8.03</v>
      </c>
      <c r="N274" s="23" t="n">
        <v>19.4</v>
      </c>
      <c r="O274" s="49"/>
      <c r="P274" s="49"/>
      <c r="Q274" s="33" t="n">
        <v>1.93</v>
      </c>
      <c r="R274" s="34" t="n">
        <v>8</v>
      </c>
      <c r="S274" s="19" t="n">
        <v>17.3</v>
      </c>
      <c r="T274" s="49"/>
      <c r="U274" s="49"/>
      <c r="V274" s="34" t="n">
        <v>0</v>
      </c>
      <c r="W274" s="33" t="n">
        <v>8</v>
      </c>
      <c r="X274" s="23" t="n">
        <v>17.3</v>
      </c>
      <c r="Y274" s="49"/>
      <c r="Z274" s="49"/>
      <c r="AA274" s="34" t="n">
        <v>0</v>
      </c>
      <c r="AB274" s="33" t="n">
        <v>8</v>
      </c>
      <c r="AC274" s="23" t="n">
        <v>17.6</v>
      </c>
      <c r="AD274" s="33" t="n">
        <v>54.5</v>
      </c>
      <c r="AE274" s="34" t="n">
        <f aca="false">0.6*AD274</f>
        <v>32.7</v>
      </c>
      <c r="AF274" s="33"/>
      <c r="AG274" s="34" t="n">
        <v>0</v>
      </c>
      <c r="AH274" s="45"/>
      <c r="AI274" s="33" t="n">
        <v>8</v>
      </c>
      <c r="AJ274" s="23" t="n">
        <v>17.6</v>
      </c>
      <c r="AK274" s="33" t="n">
        <v>54.5</v>
      </c>
      <c r="AL274" s="34" t="n">
        <f aca="false">0.6*AK274</f>
        <v>32.7</v>
      </c>
      <c r="AM274" s="33"/>
      <c r="AN274" s="34" t="n">
        <v>0</v>
      </c>
      <c r="AO274" s="2" t="n">
        <v>6.05</v>
      </c>
      <c r="AP274" s="23" t="n">
        <v>17.9</v>
      </c>
      <c r="AQ274" s="33" t="n">
        <v>200</v>
      </c>
      <c r="AR274" s="34" t="n">
        <f aca="false">0.55*AQ274</f>
        <v>110</v>
      </c>
      <c r="AS274" s="34" t="n">
        <v>0</v>
      </c>
      <c r="AT274" s="33" t="n">
        <v>7.22</v>
      </c>
      <c r="AU274" s="23" t="n">
        <v>18.4</v>
      </c>
      <c r="AV274" s="33" t="n">
        <v>304</v>
      </c>
      <c r="AW274" s="34" t="n">
        <f aca="false">0.55*AV274</f>
        <v>167.2</v>
      </c>
      <c r="AX274" s="34" t="n">
        <v>1</v>
      </c>
      <c r="AY274" s="34" t="n">
        <v>0</v>
      </c>
    </row>
    <row r="275" customFormat="false" ht="15" hidden="false" customHeight="false" outlineLevel="0" collapsed="false">
      <c r="A275" s="16" t="n">
        <v>45355</v>
      </c>
      <c r="B275" s="2" t="s">
        <v>51</v>
      </c>
      <c r="C275" s="32" t="n">
        <v>8.1</v>
      </c>
      <c r="D275" s="23" t="n">
        <v>18.6</v>
      </c>
      <c r="E275" s="33" t="n">
        <v>54.6</v>
      </c>
      <c r="F275" s="34" t="n">
        <f aca="false">0.6*E275</f>
        <v>32.76</v>
      </c>
      <c r="G275" s="33" t="n">
        <v>0.63</v>
      </c>
      <c r="H275" s="33" t="n">
        <v>8.06</v>
      </c>
      <c r="I275" s="23" t="n">
        <v>17</v>
      </c>
      <c r="J275" s="49"/>
      <c r="K275" s="37"/>
      <c r="L275" s="33" t="n">
        <v>1.63</v>
      </c>
      <c r="M275" s="33" t="n">
        <v>8.06</v>
      </c>
      <c r="N275" s="23" t="n">
        <v>17</v>
      </c>
      <c r="O275" s="49"/>
      <c r="P275" s="37"/>
      <c r="Q275" s="33" t="n">
        <v>1.68</v>
      </c>
      <c r="R275" s="33" t="n">
        <v>8.03</v>
      </c>
      <c r="S275" s="23" t="n">
        <v>16.9</v>
      </c>
      <c r="T275" s="49"/>
      <c r="U275" s="37"/>
      <c r="V275" s="34" t="n">
        <v>0.14</v>
      </c>
      <c r="W275" s="33" t="n">
        <v>8.03</v>
      </c>
      <c r="X275" s="23" t="n">
        <v>16.9</v>
      </c>
      <c r="Y275" s="49"/>
      <c r="Z275" s="37"/>
      <c r="AA275" s="34" t="n">
        <v>0.14</v>
      </c>
      <c r="AB275" s="33" t="n">
        <v>8</v>
      </c>
      <c r="AC275" s="23" t="n">
        <v>17.3</v>
      </c>
      <c r="AD275" s="33"/>
      <c r="AE275" s="34" t="n">
        <f aca="false">0.6*AD275</f>
        <v>0</v>
      </c>
      <c r="AF275" s="33"/>
      <c r="AG275" s="34" t="n">
        <v>0.16</v>
      </c>
      <c r="AH275" s="33"/>
      <c r="AI275" s="33" t="n">
        <v>8</v>
      </c>
      <c r="AJ275" s="23" t="n">
        <v>17.3</v>
      </c>
      <c r="AK275" s="33"/>
      <c r="AL275" s="34" t="n">
        <f aca="false">0.6*AK275</f>
        <v>0</v>
      </c>
      <c r="AM275" s="33"/>
      <c r="AN275" s="34" t="n">
        <v>0.11</v>
      </c>
      <c r="AO275" s="2" t="n">
        <v>5.9</v>
      </c>
      <c r="AP275" s="23" t="n">
        <v>17.7</v>
      </c>
      <c r="AQ275" s="33" t="n">
        <v>204</v>
      </c>
      <c r="AR275" s="34" t="n">
        <f aca="false">0.55*AQ275</f>
        <v>112.2</v>
      </c>
      <c r="AS275" s="34" t="n">
        <v>0.16</v>
      </c>
      <c r="AT275" s="33" t="n">
        <v>7.29</v>
      </c>
      <c r="AU275" s="23" t="n">
        <v>18.4</v>
      </c>
      <c r="AV275" s="33" t="n">
        <v>298</v>
      </c>
      <c r="AW275" s="34" t="n">
        <f aca="false">0.55*AV275</f>
        <v>163.9</v>
      </c>
      <c r="AX275" s="34" t="n">
        <v>0.8</v>
      </c>
      <c r="AY275" s="34" t="n">
        <v>0.19</v>
      </c>
    </row>
    <row r="276" customFormat="false" ht="15" hidden="false" customHeight="false" outlineLevel="0" collapsed="false">
      <c r="A276" s="16" t="n">
        <v>45355</v>
      </c>
      <c r="B276" s="2" t="s">
        <v>52</v>
      </c>
      <c r="C276" s="29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P276" s="21"/>
      <c r="AQ276" s="21"/>
      <c r="AR276" s="21"/>
      <c r="AS276" s="21"/>
      <c r="AT276" s="33" t="n">
        <v>7.37</v>
      </c>
      <c r="AU276" s="23" t="n">
        <v>18.9</v>
      </c>
      <c r="AV276" s="33" t="n">
        <v>294</v>
      </c>
      <c r="AW276" s="34" t="n">
        <f aca="false">0.55*AV276</f>
        <v>161.7</v>
      </c>
      <c r="AX276" s="34"/>
      <c r="AY276" s="34" t="n">
        <v>0.17</v>
      </c>
    </row>
    <row r="277" customFormat="false" ht="15" hidden="false" customHeight="false" outlineLevel="0" collapsed="false">
      <c r="A277" s="16" t="n">
        <v>45355</v>
      </c>
      <c r="B277" s="2" t="s">
        <v>57</v>
      </c>
      <c r="C277" s="32" t="n">
        <v>8.14</v>
      </c>
      <c r="D277" s="23" t="n">
        <v>19.3</v>
      </c>
      <c r="E277" s="33" t="n">
        <v>54.4</v>
      </c>
      <c r="F277" s="34" t="n">
        <f aca="false">0.6*E277</f>
        <v>32.64</v>
      </c>
      <c r="G277" s="33" t="n">
        <v>0.61</v>
      </c>
      <c r="H277" s="33" t="n">
        <v>8.08</v>
      </c>
      <c r="I277" s="23" t="n">
        <v>17.5</v>
      </c>
      <c r="J277" s="49"/>
      <c r="K277" s="49"/>
      <c r="L277" s="33" t="n">
        <v>1.7</v>
      </c>
      <c r="M277" s="33" t="n">
        <v>8.07</v>
      </c>
      <c r="N277" s="23" t="n">
        <v>17.5</v>
      </c>
      <c r="O277" s="49"/>
      <c r="P277" s="49"/>
      <c r="Q277" s="33" t="n">
        <v>1.65</v>
      </c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P277" s="21"/>
      <c r="AQ277" s="21"/>
      <c r="AR277" s="21"/>
      <c r="AS277" s="21"/>
      <c r="AT277" s="33" t="n">
        <v>7.35</v>
      </c>
      <c r="AU277" s="23" t="n">
        <v>19.2</v>
      </c>
      <c r="AV277" s="33" t="n">
        <v>294</v>
      </c>
      <c r="AW277" s="34" t="n">
        <f aca="false">0.55*AV277</f>
        <v>161.7</v>
      </c>
      <c r="AX277" s="34" t="n">
        <v>1</v>
      </c>
      <c r="AY277" s="34" t="n">
        <v>0.02</v>
      </c>
    </row>
    <row r="278" customFormat="false" ht="15" hidden="false" customHeight="false" outlineLevel="0" collapsed="false">
      <c r="A278" s="16" t="n">
        <v>45386</v>
      </c>
      <c r="B278" s="2" t="s">
        <v>51</v>
      </c>
      <c r="C278" s="32" t="n">
        <v>8.06</v>
      </c>
      <c r="D278" s="23" t="n">
        <v>18.9</v>
      </c>
      <c r="E278" s="33" t="n">
        <v>54.7</v>
      </c>
      <c r="F278" s="34" t="n">
        <f aca="false">0.6*E278</f>
        <v>32.82</v>
      </c>
      <c r="G278" s="33" t="n">
        <v>0.56</v>
      </c>
      <c r="H278" s="33" t="n">
        <v>8.05</v>
      </c>
      <c r="I278" s="23" t="n">
        <v>18.9</v>
      </c>
      <c r="J278" s="49"/>
      <c r="K278" s="37"/>
      <c r="L278" s="33" t="n">
        <v>1.12</v>
      </c>
      <c r="M278" s="33" t="n">
        <v>8.05</v>
      </c>
      <c r="N278" s="23" t="n">
        <v>18.9</v>
      </c>
      <c r="O278" s="49"/>
      <c r="P278" s="37"/>
      <c r="Q278" s="33" t="n">
        <v>1.27</v>
      </c>
      <c r="R278" s="33" t="n">
        <v>8.03</v>
      </c>
      <c r="S278" s="23" t="n">
        <v>17.9</v>
      </c>
      <c r="T278" s="49"/>
      <c r="U278" s="37"/>
      <c r="V278" s="34" t="n">
        <v>0</v>
      </c>
      <c r="W278" s="33" t="n">
        <v>8.03</v>
      </c>
      <c r="X278" s="23" t="n">
        <v>17.9</v>
      </c>
      <c r="Y278" s="49"/>
      <c r="Z278" s="37"/>
      <c r="AA278" s="34" t="n">
        <v>0</v>
      </c>
      <c r="AB278" s="33" t="n">
        <v>8</v>
      </c>
      <c r="AC278" s="23" t="n">
        <v>17.6</v>
      </c>
      <c r="AD278" s="33" t="n">
        <v>54.7</v>
      </c>
      <c r="AE278" s="34" t="n">
        <f aca="false">0.6*AD278</f>
        <v>32.82</v>
      </c>
      <c r="AF278" s="33"/>
      <c r="AG278" s="34" t="n">
        <v>0</v>
      </c>
      <c r="AH278" s="33"/>
      <c r="AI278" s="33" t="n">
        <v>8</v>
      </c>
      <c r="AJ278" s="23" t="n">
        <v>17.6</v>
      </c>
      <c r="AK278" s="33" t="n">
        <v>54.7</v>
      </c>
      <c r="AL278" s="34" t="n">
        <f aca="false">0.6*AK278</f>
        <v>32.82</v>
      </c>
      <c r="AM278" s="33"/>
      <c r="AN278" s="34" t="n">
        <v>0</v>
      </c>
      <c r="AO278" s="2" t="n">
        <v>6.12</v>
      </c>
      <c r="AP278" s="23" t="n">
        <v>17.8</v>
      </c>
      <c r="AQ278" s="33" t="n">
        <v>206</v>
      </c>
      <c r="AR278" s="34" t="n">
        <f aca="false">0.55*AQ278</f>
        <v>113.3</v>
      </c>
      <c r="AS278" s="34" t="n">
        <v>0</v>
      </c>
      <c r="AT278" s="33" t="n">
        <v>7.25</v>
      </c>
      <c r="AU278" s="23" t="n">
        <v>18.3</v>
      </c>
      <c r="AV278" s="33" t="n">
        <v>318</v>
      </c>
      <c r="AW278" s="34" t="n">
        <f aca="false">0.55*AV278</f>
        <v>174.9</v>
      </c>
      <c r="AX278" s="34" t="n">
        <v>1</v>
      </c>
      <c r="AY278" s="34" t="n">
        <v>0.02</v>
      </c>
    </row>
    <row r="279" customFormat="false" ht="15" hidden="false" customHeight="false" outlineLevel="0" collapsed="false">
      <c r="A279" s="16" t="n">
        <v>45386</v>
      </c>
      <c r="B279" s="2" t="s">
        <v>52</v>
      </c>
      <c r="C279" s="32" t="n">
        <v>8.1</v>
      </c>
      <c r="D279" s="23" t="n">
        <v>22.1</v>
      </c>
      <c r="E279" s="33" t="n">
        <v>54.5</v>
      </c>
      <c r="F279" s="34" t="n">
        <f aca="false">0.6*E279</f>
        <v>32.7</v>
      </c>
      <c r="G279" s="33" t="n">
        <v>1.23</v>
      </c>
      <c r="H279" s="33" t="n">
        <v>8.08</v>
      </c>
      <c r="I279" s="23" t="n">
        <v>18</v>
      </c>
      <c r="J279" s="49"/>
      <c r="K279" s="49"/>
      <c r="L279" s="33" t="n">
        <v>1.97</v>
      </c>
      <c r="M279" s="33" t="n">
        <v>8.08</v>
      </c>
      <c r="N279" s="23" t="n">
        <v>18</v>
      </c>
      <c r="O279" s="49"/>
      <c r="P279" s="49"/>
      <c r="Q279" s="33" t="n">
        <v>1.83</v>
      </c>
      <c r="R279" s="34" t="n">
        <v>8.05</v>
      </c>
      <c r="S279" s="19" t="n">
        <v>17.9</v>
      </c>
      <c r="T279" s="49"/>
      <c r="U279" s="49"/>
      <c r="V279" s="34" t="n">
        <v>0</v>
      </c>
      <c r="W279" s="33" t="n">
        <v>8.05</v>
      </c>
      <c r="X279" s="23" t="n">
        <v>17.9</v>
      </c>
      <c r="Y279" s="49"/>
      <c r="Z279" s="49"/>
      <c r="AA279" s="34" t="n">
        <v>0</v>
      </c>
      <c r="AB279" s="33" t="n">
        <v>7.96</v>
      </c>
      <c r="AC279" s="23" t="n">
        <v>17.8</v>
      </c>
      <c r="AD279" s="33" t="n">
        <v>54.2</v>
      </c>
      <c r="AE279" s="34" t="n">
        <f aca="false">0.6*AD279</f>
        <v>32.52</v>
      </c>
      <c r="AF279" s="33"/>
      <c r="AG279" s="34" t="n">
        <v>0</v>
      </c>
      <c r="AH279" s="45"/>
      <c r="AI279" s="33" t="n">
        <v>7.96</v>
      </c>
      <c r="AJ279" s="23" t="n">
        <v>17.8</v>
      </c>
      <c r="AK279" s="33" t="n">
        <v>54.2</v>
      </c>
      <c r="AL279" s="34" t="n">
        <f aca="false">0.6*AK279</f>
        <v>32.52</v>
      </c>
      <c r="AM279" s="33"/>
      <c r="AN279" s="34" t="n">
        <v>0</v>
      </c>
      <c r="AO279" s="2" t="n">
        <v>6.19</v>
      </c>
      <c r="AP279" s="23" t="n">
        <v>18.1</v>
      </c>
      <c r="AQ279" s="33" t="n">
        <v>196.8</v>
      </c>
      <c r="AR279" s="34" t="n">
        <f aca="false">0.55*AQ279</f>
        <v>108.24</v>
      </c>
      <c r="AS279" s="34" t="n">
        <v>0</v>
      </c>
      <c r="AT279" s="33" t="n">
        <v>7.15</v>
      </c>
      <c r="AU279" s="23" t="n">
        <v>18.7</v>
      </c>
      <c r="AV279" s="33" t="n">
        <v>319</v>
      </c>
      <c r="AW279" s="34" t="n">
        <f aca="false">0.55*AV279</f>
        <v>175.45</v>
      </c>
      <c r="AX279" s="34" t="n">
        <v>1</v>
      </c>
      <c r="AY279" s="34" t="n">
        <v>0</v>
      </c>
    </row>
    <row r="280" customFormat="false" ht="15" hidden="false" customHeight="false" outlineLevel="0" collapsed="false">
      <c r="A280" s="16" t="n">
        <v>45386</v>
      </c>
      <c r="B280" s="2" t="s">
        <v>57</v>
      </c>
      <c r="C280" s="29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</row>
    <row r="281" customFormat="false" ht="15" hidden="false" customHeight="false" outlineLevel="0" collapsed="false">
      <c r="A281" s="16" t="n">
        <v>45416</v>
      </c>
      <c r="B281" s="2" t="s">
        <v>51</v>
      </c>
      <c r="C281" s="29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</row>
    <row r="282" customFormat="false" ht="15" hidden="false" customHeight="false" outlineLevel="0" collapsed="false">
      <c r="A282" s="16" t="n">
        <v>45416</v>
      </c>
      <c r="B282" s="2" t="s">
        <v>52</v>
      </c>
      <c r="C282" s="29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</row>
    <row r="283" customFormat="false" ht="15" hidden="false" customHeight="false" outlineLevel="0" collapsed="false">
      <c r="A283" s="16" t="n">
        <v>45416</v>
      </c>
      <c r="B283" s="2" t="s">
        <v>57</v>
      </c>
      <c r="C283" s="29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</row>
    <row r="284" customFormat="false" ht="15" hidden="false" customHeight="false" outlineLevel="0" collapsed="false">
      <c r="A284" s="16" t="n">
        <v>45447</v>
      </c>
      <c r="B284" s="2" t="s">
        <v>51</v>
      </c>
      <c r="C284" s="32" t="n">
        <v>8.03</v>
      </c>
      <c r="D284" s="23" t="n">
        <v>21.7</v>
      </c>
      <c r="E284" s="33" t="n">
        <v>54.6</v>
      </c>
      <c r="F284" s="34" t="n">
        <f aca="false">0.6*E284</f>
        <v>32.76</v>
      </c>
      <c r="G284" s="33" t="n">
        <v>0.63</v>
      </c>
      <c r="H284" s="33" t="n">
        <v>8.02</v>
      </c>
      <c r="I284" s="23" t="n">
        <v>21.3</v>
      </c>
      <c r="J284" s="49"/>
      <c r="K284" s="37"/>
      <c r="L284" s="33" t="n">
        <v>1.47</v>
      </c>
      <c r="M284" s="33" t="n">
        <v>8.02</v>
      </c>
      <c r="N284" s="23" t="n">
        <v>21.3</v>
      </c>
      <c r="O284" s="49"/>
      <c r="P284" s="37"/>
      <c r="Q284" s="33" t="n">
        <v>1.56</v>
      </c>
      <c r="R284" s="33" t="n">
        <v>8</v>
      </c>
      <c r="S284" s="23" t="n">
        <v>17.9</v>
      </c>
      <c r="T284" s="49"/>
      <c r="U284" s="37"/>
      <c r="V284" s="34" t="n">
        <v>0</v>
      </c>
      <c r="W284" s="33" t="n">
        <v>8</v>
      </c>
      <c r="X284" s="23" t="n">
        <v>17.9</v>
      </c>
      <c r="Y284" s="49"/>
      <c r="Z284" s="37"/>
      <c r="AA284" s="34" t="n">
        <v>0</v>
      </c>
      <c r="AB284" s="33" t="n">
        <v>8</v>
      </c>
      <c r="AC284" s="23" t="n">
        <v>18.6</v>
      </c>
      <c r="AD284" s="33" t="n">
        <v>54.5</v>
      </c>
      <c r="AE284" s="34" t="n">
        <f aca="false">0.6*AD284</f>
        <v>32.7</v>
      </c>
      <c r="AF284" s="33"/>
      <c r="AG284" s="34" t="n">
        <v>0</v>
      </c>
      <c r="AH284" s="33"/>
      <c r="AI284" s="33" t="n">
        <v>8</v>
      </c>
      <c r="AJ284" s="23" t="n">
        <v>18.3</v>
      </c>
      <c r="AK284" s="33" t="n">
        <v>54.5</v>
      </c>
      <c r="AL284" s="34" t="n">
        <f aca="false">0.6*AK284</f>
        <v>32.7</v>
      </c>
      <c r="AM284" s="33"/>
      <c r="AN284" s="34" t="n">
        <v>0</v>
      </c>
      <c r="AO284" s="2" t="n">
        <v>6.17</v>
      </c>
      <c r="AP284" s="23" t="n">
        <v>18.9</v>
      </c>
      <c r="AQ284" s="33" t="n">
        <v>215</v>
      </c>
      <c r="AR284" s="34" t="n">
        <f aca="false">0.55*AQ284</f>
        <v>118.25</v>
      </c>
      <c r="AS284" s="34" t="n">
        <v>0</v>
      </c>
      <c r="AT284" s="33" t="n">
        <v>7.42</v>
      </c>
      <c r="AU284" s="23" t="n">
        <v>19.6</v>
      </c>
      <c r="AV284" s="33" t="n">
        <v>305</v>
      </c>
      <c r="AW284" s="34" t="n">
        <f aca="false">AV284*0.6</f>
        <v>183</v>
      </c>
      <c r="AX284" s="34" t="n">
        <v>1</v>
      </c>
      <c r="AY284" s="34" t="n">
        <v>0.27</v>
      </c>
    </row>
    <row r="285" customFormat="false" ht="15" hidden="false" customHeight="false" outlineLevel="0" collapsed="false">
      <c r="A285" s="16" t="n">
        <v>45447</v>
      </c>
      <c r="B285" s="2" t="s">
        <v>52</v>
      </c>
      <c r="C285" s="29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P285" s="21"/>
      <c r="AQ285" s="21"/>
      <c r="AR285" s="21"/>
      <c r="AS285" s="21"/>
      <c r="AT285" s="33" t="n">
        <v>7.49</v>
      </c>
      <c r="AU285" s="23" t="n">
        <v>24.5</v>
      </c>
      <c r="AV285" s="33" t="n">
        <v>329</v>
      </c>
      <c r="AW285" s="34" t="n">
        <f aca="false">0.55*AV285</f>
        <v>180.95</v>
      </c>
      <c r="AX285" s="34"/>
      <c r="AY285" s="34" t="n">
        <v>0.17</v>
      </c>
    </row>
    <row r="286" customFormat="false" ht="15" hidden="false" customHeight="false" outlineLevel="0" collapsed="false">
      <c r="A286" s="16" t="n">
        <v>45447</v>
      </c>
      <c r="B286" s="2" t="s">
        <v>57</v>
      </c>
      <c r="C286" s="32" t="n">
        <v>8.03</v>
      </c>
      <c r="D286" s="23" t="n">
        <v>23.7</v>
      </c>
      <c r="E286" s="33" t="n">
        <v>54.4</v>
      </c>
      <c r="F286" s="34" t="n">
        <f aca="false">0.6*E286</f>
        <v>32.64</v>
      </c>
      <c r="G286" s="33" t="n">
        <v>0.53</v>
      </c>
      <c r="H286" s="33" t="n">
        <v>8.02</v>
      </c>
      <c r="I286" s="23" t="n">
        <v>22.7</v>
      </c>
      <c r="J286" s="49"/>
      <c r="K286" s="49"/>
      <c r="L286" s="33" t="n">
        <v>2.4</v>
      </c>
      <c r="M286" s="33" t="n">
        <v>8.02</v>
      </c>
      <c r="N286" s="23" t="n">
        <v>22.7</v>
      </c>
      <c r="O286" s="49"/>
      <c r="P286" s="49"/>
      <c r="Q286" s="33" t="n">
        <v>2.22</v>
      </c>
      <c r="R286" s="34" t="n">
        <v>8</v>
      </c>
      <c r="S286" s="19" t="n">
        <v>18.9</v>
      </c>
      <c r="T286" s="49"/>
      <c r="U286" s="49"/>
      <c r="V286" s="34" t="n">
        <v>0</v>
      </c>
      <c r="W286" s="33" t="n">
        <v>8</v>
      </c>
      <c r="X286" s="23" t="n">
        <v>18.9</v>
      </c>
      <c r="Y286" s="49"/>
      <c r="Z286" s="49"/>
      <c r="AA286" s="34" t="n">
        <v>0</v>
      </c>
      <c r="AB286" s="33" t="n">
        <v>7.96</v>
      </c>
      <c r="AC286" s="23" t="n">
        <v>18.7</v>
      </c>
      <c r="AD286" s="33" t="n">
        <v>54.5</v>
      </c>
      <c r="AE286" s="34" t="n">
        <f aca="false">AD286*0.6</f>
        <v>32.7</v>
      </c>
      <c r="AF286" s="33"/>
      <c r="AG286" s="34" t="n">
        <v>0</v>
      </c>
      <c r="AH286" s="45"/>
      <c r="AI286" s="33" t="n">
        <v>7.96</v>
      </c>
      <c r="AJ286" s="23" t="n">
        <v>18.7</v>
      </c>
      <c r="AK286" s="33" t="n">
        <v>54.5</v>
      </c>
      <c r="AL286" s="34" t="n">
        <v>23</v>
      </c>
      <c r="AM286" s="33"/>
      <c r="AN286" s="34" t="n">
        <v>0</v>
      </c>
      <c r="AO286" s="2" t="n">
        <v>6.16</v>
      </c>
      <c r="AP286" s="23" t="n">
        <v>18.8</v>
      </c>
      <c r="AQ286" s="33" t="n">
        <v>217.3</v>
      </c>
      <c r="AR286" s="34" t="n">
        <f aca="false">AQ286*0.55</f>
        <v>119.515</v>
      </c>
      <c r="AS286" s="34" t="n">
        <v>0</v>
      </c>
      <c r="AT286" s="33" t="n">
        <v>7.74</v>
      </c>
      <c r="AU286" s="23" t="n">
        <v>22</v>
      </c>
      <c r="AV286" s="33" t="n">
        <v>339</v>
      </c>
      <c r="AW286" s="34" t="n">
        <f aca="false">0.55*AV286</f>
        <v>186.45</v>
      </c>
      <c r="AX286" s="34" t="n">
        <v>1</v>
      </c>
      <c r="AY286" s="34" t="n">
        <v>0</v>
      </c>
    </row>
    <row r="287" customFormat="false" ht="15" hidden="false" customHeight="false" outlineLevel="0" collapsed="false">
      <c r="A287" s="16" t="n">
        <v>45477</v>
      </c>
      <c r="B287" s="2" t="s">
        <v>51</v>
      </c>
      <c r="C287" s="32" t="n">
        <v>8.04</v>
      </c>
      <c r="D287" s="23" t="n">
        <v>21.1</v>
      </c>
      <c r="E287" s="33" t="n">
        <v>54.6</v>
      </c>
      <c r="F287" s="34" t="n">
        <f aca="false">0.6*E287</f>
        <v>32.76</v>
      </c>
      <c r="G287" s="33" t="n">
        <v>0.47</v>
      </c>
      <c r="H287" s="33" t="n">
        <v>8.03</v>
      </c>
      <c r="I287" s="23" t="n">
        <v>19</v>
      </c>
      <c r="J287" s="49"/>
      <c r="K287" s="37"/>
      <c r="L287" s="33" t="n">
        <v>1.27</v>
      </c>
      <c r="M287" s="33" t="n">
        <v>8.08</v>
      </c>
      <c r="N287" s="23" t="n">
        <v>19</v>
      </c>
      <c r="O287" s="49"/>
      <c r="P287" s="37"/>
      <c r="Q287" s="33" t="n">
        <v>1.35</v>
      </c>
      <c r="R287" s="33" t="n">
        <v>8</v>
      </c>
      <c r="S287" s="23" t="n">
        <v>19.3</v>
      </c>
      <c r="T287" s="49"/>
      <c r="U287" s="37"/>
      <c r="V287" s="34" t="n">
        <v>0</v>
      </c>
      <c r="W287" s="33" t="n">
        <v>8</v>
      </c>
      <c r="X287" s="23" t="n">
        <v>19.3</v>
      </c>
      <c r="Y287" s="49"/>
      <c r="Z287" s="37"/>
      <c r="AA287" s="34" t="n">
        <v>0</v>
      </c>
      <c r="AB287" s="33" t="n">
        <v>7.99</v>
      </c>
      <c r="AC287" s="23" t="n">
        <v>18.6</v>
      </c>
      <c r="AD287" s="33" t="n">
        <v>54.5</v>
      </c>
      <c r="AE287" s="34" t="n">
        <f aca="false">0.6*AD287</f>
        <v>32.7</v>
      </c>
      <c r="AF287" s="33"/>
      <c r="AG287" s="34" t="n">
        <v>0</v>
      </c>
      <c r="AH287" s="33"/>
      <c r="AI287" s="33" t="n">
        <v>7.99</v>
      </c>
      <c r="AJ287" s="23" t="n">
        <v>18.3</v>
      </c>
      <c r="AK287" s="33" t="n">
        <v>54.5</v>
      </c>
      <c r="AL287" s="34" t="n">
        <f aca="false">0.6*AK287</f>
        <v>32.7</v>
      </c>
      <c r="AM287" s="33"/>
      <c r="AN287" s="34" t="n">
        <v>0</v>
      </c>
      <c r="AO287" s="2" t="n">
        <v>6.43</v>
      </c>
      <c r="AP287" s="23" t="n">
        <v>18.9</v>
      </c>
      <c r="AQ287" s="33" t="n">
        <v>217</v>
      </c>
      <c r="AR287" s="34" t="n">
        <f aca="false">0.55*AQ287</f>
        <v>119.35</v>
      </c>
      <c r="AS287" s="34" t="n">
        <v>0</v>
      </c>
      <c r="AT287" s="33" t="n">
        <v>7.45</v>
      </c>
      <c r="AU287" s="23" t="n">
        <v>22.4</v>
      </c>
      <c r="AV287" s="33" t="n">
        <v>307</v>
      </c>
      <c r="AW287" s="34" t="n">
        <f aca="false">AV287*0.6</f>
        <v>184.2</v>
      </c>
      <c r="AX287" s="34" t="n">
        <v>1.4</v>
      </c>
      <c r="AY287" s="34" t="n">
        <v>0</v>
      </c>
    </row>
    <row r="288" customFormat="false" ht="15" hidden="false" customHeight="false" outlineLevel="0" collapsed="false">
      <c r="A288" s="16" t="n">
        <v>45477</v>
      </c>
      <c r="B288" s="2" t="s">
        <v>52</v>
      </c>
      <c r="C288" s="29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P288" s="21"/>
      <c r="AQ288" s="21"/>
      <c r="AR288" s="21"/>
      <c r="AS288" s="21"/>
      <c r="AT288" s="33" t="n">
        <v>7.46</v>
      </c>
      <c r="AU288" s="23" t="n">
        <v>23</v>
      </c>
      <c r="AV288" s="33" t="n">
        <v>310</v>
      </c>
      <c r="AW288" s="34" t="n">
        <f aca="false">0.55*AV288</f>
        <v>170.5</v>
      </c>
      <c r="AX288" s="34" t="n">
        <v>1.2</v>
      </c>
      <c r="AY288" s="34" t="n">
        <v>0</v>
      </c>
    </row>
    <row r="289" customFormat="false" ht="15" hidden="false" customHeight="false" outlineLevel="0" collapsed="false">
      <c r="A289" s="16" t="n">
        <v>45477</v>
      </c>
      <c r="B289" s="2" t="s">
        <v>57</v>
      </c>
      <c r="C289" s="32" t="n">
        <v>8.14</v>
      </c>
      <c r="D289" s="23" t="n">
        <v>22</v>
      </c>
      <c r="E289" s="33" t="n">
        <v>54.6</v>
      </c>
      <c r="F289" s="34" t="n">
        <f aca="false">0.6*E289</f>
        <v>32.76</v>
      </c>
      <c r="G289" s="33" t="n">
        <v>0.52</v>
      </c>
      <c r="H289" s="33" t="n">
        <v>8.02</v>
      </c>
      <c r="I289" s="23" t="n">
        <v>22</v>
      </c>
      <c r="J289" s="49"/>
      <c r="K289" s="49"/>
      <c r="L289" s="33" t="n">
        <v>1.32</v>
      </c>
      <c r="M289" s="33" t="n">
        <v>8.02</v>
      </c>
      <c r="N289" s="23" t="n">
        <v>22</v>
      </c>
      <c r="O289" s="49"/>
      <c r="P289" s="49"/>
      <c r="Q289" s="33" t="n">
        <v>1.44</v>
      </c>
      <c r="R289" s="34" t="n">
        <v>8.01</v>
      </c>
      <c r="S289" s="19" t="n">
        <v>19.7</v>
      </c>
      <c r="T289" s="49"/>
      <c r="U289" s="49"/>
      <c r="V289" s="34" t="n">
        <v>0</v>
      </c>
      <c r="W289" s="33" t="n">
        <v>8.01</v>
      </c>
      <c r="X289" s="23" t="n">
        <v>19.7</v>
      </c>
      <c r="Y289" s="49"/>
      <c r="Z289" s="49"/>
      <c r="AA289" s="34" t="n">
        <v>0</v>
      </c>
      <c r="AB289" s="33" t="n">
        <v>8</v>
      </c>
      <c r="AC289" s="23" t="n">
        <v>18.8</v>
      </c>
      <c r="AD289" s="33" t="n">
        <v>54.4</v>
      </c>
      <c r="AE289" s="34" t="n">
        <f aca="false">AD289*0.6</f>
        <v>32.64</v>
      </c>
      <c r="AF289" s="33"/>
      <c r="AG289" s="34" t="n">
        <v>0</v>
      </c>
      <c r="AH289" s="45"/>
      <c r="AI289" s="33" t="n">
        <v>8</v>
      </c>
      <c r="AJ289" s="23" t="n">
        <v>18.8</v>
      </c>
      <c r="AK289" s="33" t="n">
        <v>54.4</v>
      </c>
      <c r="AL289" s="34" t="n">
        <v>23</v>
      </c>
      <c r="AM289" s="33"/>
      <c r="AN289" s="34" t="n">
        <v>0</v>
      </c>
      <c r="AO289" s="2" t="n">
        <v>6.45</v>
      </c>
      <c r="AP289" s="23" t="n">
        <v>18</v>
      </c>
      <c r="AQ289" s="33" t="n">
        <v>218</v>
      </c>
      <c r="AR289" s="34" t="n">
        <f aca="false">AQ289*0.55</f>
        <v>119.9</v>
      </c>
      <c r="AS289" s="34" t="n">
        <v>0</v>
      </c>
      <c r="AT289" s="33" t="n">
        <v>7.44</v>
      </c>
      <c r="AU289" s="23" t="n">
        <v>22</v>
      </c>
      <c r="AV289" s="33" t="n">
        <v>317</v>
      </c>
      <c r="AW289" s="34" t="n">
        <f aca="false">0.55*AV289</f>
        <v>174.35</v>
      </c>
      <c r="AX289" s="34" t="n">
        <v>1.2</v>
      </c>
      <c r="AY289" s="34" t="n">
        <v>0</v>
      </c>
    </row>
    <row r="290" customFormat="false" ht="15" hidden="false" customHeight="false" outlineLevel="0" collapsed="false">
      <c r="A290" s="16" t="n">
        <v>45508</v>
      </c>
      <c r="B290" s="2" t="s">
        <v>51</v>
      </c>
      <c r="C290" s="32" t="n">
        <v>8.06</v>
      </c>
      <c r="D290" s="23" t="n">
        <v>17.9</v>
      </c>
      <c r="E290" s="33" t="n">
        <v>54.4</v>
      </c>
      <c r="F290" s="34" t="n">
        <f aca="false">0.6*E290</f>
        <v>32.64</v>
      </c>
      <c r="G290" s="33" t="n">
        <v>0.72</v>
      </c>
      <c r="H290" s="33" t="n">
        <v>8.05</v>
      </c>
      <c r="I290" s="23" t="n">
        <v>17.9</v>
      </c>
      <c r="J290" s="49"/>
      <c r="K290" s="37"/>
      <c r="L290" s="33" t="n">
        <v>1.61</v>
      </c>
      <c r="M290" s="33" t="n">
        <v>8.05</v>
      </c>
      <c r="N290" s="23" t="n">
        <v>17.9</v>
      </c>
      <c r="O290" s="49"/>
      <c r="P290" s="37"/>
      <c r="Q290" s="33" t="n">
        <v>1.32</v>
      </c>
      <c r="R290" s="33" t="n">
        <v>8.03</v>
      </c>
      <c r="S290" s="23" t="n">
        <v>17.8</v>
      </c>
      <c r="T290" s="49"/>
      <c r="U290" s="37"/>
      <c r="V290" s="34" t="n">
        <v>0</v>
      </c>
      <c r="W290" s="33" t="n">
        <v>8.03</v>
      </c>
      <c r="X290" s="23" t="n">
        <v>17.8</v>
      </c>
      <c r="Y290" s="49"/>
      <c r="Z290" s="37"/>
      <c r="AA290" s="34" t="n">
        <v>0</v>
      </c>
      <c r="AB290" s="33" t="n">
        <v>8</v>
      </c>
      <c r="AC290" s="23" t="n">
        <v>17.4</v>
      </c>
      <c r="AD290" s="33" t="n">
        <v>54.4</v>
      </c>
      <c r="AE290" s="34" t="n">
        <f aca="false">0.6*AD290</f>
        <v>32.64</v>
      </c>
      <c r="AF290" s="33"/>
      <c r="AG290" s="34" t="n">
        <v>0</v>
      </c>
      <c r="AH290" s="33"/>
      <c r="AI290" s="33" t="n">
        <v>8</v>
      </c>
      <c r="AJ290" s="23" t="n">
        <v>17.4</v>
      </c>
      <c r="AK290" s="33" t="n">
        <v>54.4</v>
      </c>
      <c r="AL290" s="34" t="n">
        <f aca="false">0.6*AK290</f>
        <v>32.64</v>
      </c>
      <c r="AM290" s="33"/>
      <c r="AN290" s="34" t="n">
        <v>0</v>
      </c>
      <c r="AO290" s="2" t="n">
        <v>6.15</v>
      </c>
      <c r="AP290" s="23" t="n">
        <v>18.6</v>
      </c>
      <c r="AQ290" s="33" t="n">
        <v>221</v>
      </c>
      <c r="AR290" s="34" t="n">
        <f aca="false">0.55*AQ290</f>
        <v>121.55</v>
      </c>
      <c r="AS290" s="34" t="n">
        <v>0</v>
      </c>
      <c r="AT290" s="33" t="n">
        <v>7.24</v>
      </c>
      <c r="AU290" s="23" t="n">
        <v>19.8</v>
      </c>
      <c r="AV290" s="33" t="n">
        <v>312</v>
      </c>
      <c r="AW290" s="34" t="n">
        <f aca="false">AV290*0.6</f>
        <v>187.2</v>
      </c>
      <c r="AX290" s="34" t="n">
        <v>1.2</v>
      </c>
      <c r="AY290" s="34" t="n">
        <v>0</v>
      </c>
    </row>
    <row r="291" customFormat="false" ht="15" hidden="false" customHeight="false" outlineLevel="0" collapsed="false">
      <c r="A291" s="16" t="n">
        <v>45508</v>
      </c>
      <c r="B291" s="2" t="s">
        <v>52</v>
      </c>
      <c r="C291" s="32" t="n">
        <v>8.08</v>
      </c>
      <c r="D291" s="23" t="n">
        <v>21</v>
      </c>
      <c r="E291" s="33" t="n">
        <v>54.5</v>
      </c>
      <c r="F291" s="34" t="n">
        <f aca="false">E291*0.6</f>
        <v>32.7</v>
      </c>
      <c r="G291" s="33" t="n">
        <v>0.66</v>
      </c>
      <c r="H291" s="33" t="n">
        <v>8.05</v>
      </c>
      <c r="I291" s="23" t="n">
        <v>21</v>
      </c>
      <c r="J291" s="49"/>
      <c r="K291" s="49"/>
      <c r="L291" s="33" t="n">
        <v>1.44</v>
      </c>
      <c r="M291" s="33" t="n">
        <v>8.05</v>
      </c>
      <c r="N291" s="23" t="n">
        <v>21</v>
      </c>
      <c r="O291" s="49"/>
      <c r="P291" s="49"/>
      <c r="Q291" s="33" t="n">
        <v>1.45</v>
      </c>
      <c r="R291" s="34" t="n">
        <v>8.03</v>
      </c>
      <c r="S291" s="19" t="n">
        <v>18</v>
      </c>
      <c r="T291" s="49"/>
      <c r="U291" s="49"/>
      <c r="V291" s="34" t="n">
        <v>0</v>
      </c>
      <c r="W291" s="33" t="n">
        <v>8.03</v>
      </c>
      <c r="X291" s="23" t="n">
        <v>18</v>
      </c>
      <c r="Y291" s="49"/>
      <c r="Z291" s="49"/>
      <c r="AA291" s="34" t="n">
        <v>0</v>
      </c>
      <c r="AB291" s="33" t="n">
        <v>8</v>
      </c>
      <c r="AC291" s="23" t="n">
        <v>18.3</v>
      </c>
      <c r="AD291" s="33" t="n">
        <v>54.4</v>
      </c>
      <c r="AE291" s="34" t="n">
        <f aca="false">AD291*0.6</f>
        <v>32.64</v>
      </c>
      <c r="AF291" s="33"/>
      <c r="AG291" s="34" t="n">
        <v>0</v>
      </c>
      <c r="AH291" s="33" t="s">
        <v>75</v>
      </c>
      <c r="AI291" s="33" t="n">
        <v>8</v>
      </c>
      <c r="AJ291" s="23" t="n">
        <v>18.3</v>
      </c>
      <c r="AK291" s="33" t="n">
        <v>54.4</v>
      </c>
      <c r="AL291" s="34" t="n">
        <f aca="false">AK291*0.6</f>
        <v>32.64</v>
      </c>
      <c r="AM291" s="33"/>
      <c r="AN291" s="34" t="n">
        <v>0</v>
      </c>
      <c r="AO291" s="2" t="n">
        <v>6.17</v>
      </c>
      <c r="AP291" s="23" t="n">
        <v>19.1</v>
      </c>
      <c r="AQ291" s="33" t="n">
        <v>195</v>
      </c>
      <c r="AR291" s="34" t="n">
        <f aca="false">AQ291*0.55</f>
        <v>107.25</v>
      </c>
      <c r="AS291" s="34" t="n">
        <v>0</v>
      </c>
      <c r="AT291" s="33" t="n">
        <v>7.32</v>
      </c>
      <c r="AU291" s="23" t="n">
        <v>23.3</v>
      </c>
      <c r="AV291" s="33" t="n">
        <v>312</v>
      </c>
      <c r="AW291" s="34" t="n">
        <f aca="false">0.55*AV291</f>
        <v>171.6</v>
      </c>
      <c r="AX291" s="34" t="n">
        <v>1.2</v>
      </c>
      <c r="AY291" s="34" t="n">
        <v>0</v>
      </c>
    </row>
    <row r="292" customFormat="false" ht="15" hidden="false" customHeight="false" outlineLevel="0" collapsed="false">
      <c r="A292" s="16" t="n">
        <v>45508</v>
      </c>
      <c r="B292" s="2" t="s">
        <v>57</v>
      </c>
      <c r="C292" s="29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</row>
    <row r="293" customFormat="false" ht="15" hidden="false" customHeight="false" outlineLevel="0" collapsed="false">
      <c r="A293" s="16" t="n">
        <v>45539</v>
      </c>
      <c r="B293" s="2" t="s">
        <v>51</v>
      </c>
      <c r="C293" s="32" t="n">
        <v>8.12</v>
      </c>
      <c r="D293" s="23" t="n">
        <v>19.3</v>
      </c>
      <c r="E293" s="33" t="n">
        <v>54.4</v>
      </c>
      <c r="F293" s="34" t="n">
        <f aca="false">0.6*E293</f>
        <v>32.64</v>
      </c>
      <c r="G293" s="33" t="n">
        <v>0.27</v>
      </c>
      <c r="H293" s="33" t="n">
        <v>8.08</v>
      </c>
      <c r="I293" s="23" t="n">
        <v>17.9</v>
      </c>
      <c r="J293" s="49"/>
      <c r="K293" s="37"/>
      <c r="L293" s="33" t="n">
        <v>1.15</v>
      </c>
      <c r="M293" s="33" t="n">
        <v>8.06</v>
      </c>
      <c r="N293" s="23" t="n">
        <v>17.7</v>
      </c>
      <c r="O293" s="49"/>
      <c r="P293" s="37"/>
      <c r="Q293" s="33" t="n">
        <v>0.98</v>
      </c>
      <c r="R293" s="33" t="n">
        <v>8.04</v>
      </c>
      <c r="S293" s="23" t="n">
        <v>17.6</v>
      </c>
      <c r="T293" s="49"/>
      <c r="U293" s="37"/>
      <c r="V293" s="34" t="n">
        <v>0.08</v>
      </c>
      <c r="W293" s="33" t="n">
        <v>8.05</v>
      </c>
      <c r="X293" s="23" t="n">
        <v>17.5</v>
      </c>
      <c r="Y293" s="49"/>
      <c r="Z293" s="37"/>
      <c r="AA293" s="34" t="n">
        <v>0.11</v>
      </c>
      <c r="AB293" s="33" t="n">
        <v>8.02</v>
      </c>
      <c r="AC293" s="23" t="n">
        <v>17.9</v>
      </c>
      <c r="AD293" s="33" t="n">
        <v>54.4</v>
      </c>
      <c r="AE293" s="34" t="n">
        <f aca="false">0.6*AD293</f>
        <v>32.64</v>
      </c>
      <c r="AF293" s="33"/>
      <c r="AG293" s="34" t="n">
        <v>0</v>
      </c>
      <c r="AH293" s="33"/>
      <c r="AI293" s="33" t="n">
        <v>8.02</v>
      </c>
      <c r="AJ293" s="23" t="n">
        <v>18</v>
      </c>
      <c r="AK293" s="33" t="n">
        <v>54.4</v>
      </c>
      <c r="AL293" s="34" t="n">
        <f aca="false">0.6*AK293</f>
        <v>32.64</v>
      </c>
      <c r="AM293" s="33"/>
      <c r="AN293" s="34" t="n">
        <v>0</v>
      </c>
      <c r="AO293" s="2" t="n">
        <v>6.53</v>
      </c>
      <c r="AP293" s="23" t="n">
        <v>18.6</v>
      </c>
      <c r="AQ293" s="33" t="n">
        <v>190</v>
      </c>
      <c r="AR293" s="34" t="n">
        <f aca="false">0.55*AQ293</f>
        <v>104.5</v>
      </c>
      <c r="AS293" s="34" t="n">
        <v>0.06</v>
      </c>
      <c r="AT293" s="33" t="n">
        <v>7.58</v>
      </c>
      <c r="AU293" s="23" t="n">
        <v>20.9</v>
      </c>
      <c r="AV293" s="33" t="n">
        <v>322</v>
      </c>
      <c r="AW293" s="34" t="n">
        <f aca="false">AV293*0.6</f>
        <v>193.2</v>
      </c>
      <c r="AX293" s="34" t="n">
        <v>1.2</v>
      </c>
      <c r="AY293" s="34" t="n">
        <v>0.18</v>
      </c>
    </row>
    <row r="294" customFormat="false" ht="15" hidden="false" customHeight="false" outlineLevel="0" collapsed="false">
      <c r="A294" s="16" t="n">
        <v>45539</v>
      </c>
      <c r="B294" s="2" t="s">
        <v>52</v>
      </c>
      <c r="C294" s="29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P294" s="21"/>
      <c r="AQ294" s="21"/>
      <c r="AR294" s="21"/>
      <c r="AS294" s="21"/>
      <c r="AT294" s="33" t="n">
        <v>7.32</v>
      </c>
      <c r="AU294" s="23" t="n">
        <v>23.3</v>
      </c>
      <c r="AV294" s="33" t="n">
        <v>312</v>
      </c>
      <c r="AW294" s="34" t="n">
        <f aca="false">0.55*AV294</f>
        <v>171.6</v>
      </c>
      <c r="AX294" s="34" t="n">
        <v>1.2</v>
      </c>
      <c r="AY294" s="34" t="n">
        <v>0</v>
      </c>
    </row>
    <row r="295" customFormat="false" ht="15" hidden="false" customHeight="false" outlineLevel="0" collapsed="false">
      <c r="A295" s="16" t="n">
        <v>45539</v>
      </c>
      <c r="B295" s="2" t="s">
        <v>57</v>
      </c>
      <c r="C295" s="29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P295" s="21"/>
      <c r="AQ295" s="21"/>
      <c r="AR295" s="21"/>
      <c r="AS295" s="21"/>
      <c r="AT295" s="33" t="n">
        <v>7.28</v>
      </c>
      <c r="AU295" s="23" t="n">
        <v>21.2</v>
      </c>
      <c r="AV295" s="33" t="n">
        <v>310</v>
      </c>
      <c r="AW295" s="34" t="n">
        <f aca="false">AV295*0.55</f>
        <v>170.5</v>
      </c>
      <c r="AX295" s="34" t="n">
        <v>1.2</v>
      </c>
      <c r="AY295" s="34" t="n">
        <v>0.29</v>
      </c>
    </row>
    <row r="296" customFormat="false" ht="15" hidden="false" customHeight="false" outlineLevel="0" collapsed="false">
      <c r="A296" s="16" t="n">
        <v>45569</v>
      </c>
      <c r="B296" s="2" t="s">
        <v>51</v>
      </c>
      <c r="C296" s="29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</row>
    <row r="297" customFormat="false" ht="15" hidden="false" customHeight="false" outlineLevel="0" collapsed="false">
      <c r="A297" s="16" t="n">
        <v>45569</v>
      </c>
      <c r="B297" s="2" t="s">
        <v>52</v>
      </c>
      <c r="C297" s="29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</row>
    <row r="298" customFormat="false" ht="15" hidden="false" customHeight="false" outlineLevel="0" collapsed="false">
      <c r="A298" s="16" t="n">
        <v>45569</v>
      </c>
      <c r="B298" s="2" t="s">
        <v>57</v>
      </c>
      <c r="C298" s="29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</row>
    <row r="299" customFormat="false" ht="15" hidden="false" customHeight="false" outlineLevel="0" collapsed="false">
      <c r="A299" s="16" t="n">
        <v>45600</v>
      </c>
      <c r="B299" s="2" t="s">
        <v>51</v>
      </c>
      <c r="C299" s="32" t="n">
        <v>8.1</v>
      </c>
      <c r="D299" s="23" t="n">
        <v>18.2</v>
      </c>
      <c r="E299" s="33" t="n">
        <v>54.4</v>
      </c>
      <c r="F299" s="34" t="n">
        <f aca="false">0.6*E299</f>
        <v>32.64</v>
      </c>
      <c r="G299" s="33" t="n">
        <v>0.98</v>
      </c>
      <c r="H299" s="33" t="n">
        <v>8.09</v>
      </c>
      <c r="I299" s="23" t="n">
        <v>18</v>
      </c>
      <c r="J299" s="49"/>
      <c r="K299" s="37"/>
      <c r="L299" s="33" t="n">
        <v>1.32</v>
      </c>
      <c r="M299" s="33" t="n">
        <v>8.09</v>
      </c>
      <c r="N299" s="23" t="n">
        <v>18</v>
      </c>
      <c r="O299" s="49"/>
      <c r="P299" s="37"/>
      <c r="Q299" s="33" t="n">
        <v>1.35</v>
      </c>
      <c r="R299" s="33" t="n">
        <v>8.08</v>
      </c>
      <c r="S299" s="23" t="n">
        <v>17.2</v>
      </c>
      <c r="T299" s="49"/>
      <c r="U299" s="37"/>
      <c r="V299" s="34" t="n">
        <v>0</v>
      </c>
      <c r="W299" s="33" t="n">
        <v>8.08</v>
      </c>
      <c r="X299" s="23" t="n">
        <v>17.2</v>
      </c>
      <c r="Y299" s="49"/>
      <c r="Z299" s="37"/>
      <c r="AA299" s="34" t="n">
        <v>0</v>
      </c>
      <c r="AB299" s="33" t="n">
        <v>8</v>
      </c>
      <c r="AC299" s="23" t="n">
        <v>17.3</v>
      </c>
      <c r="AD299" s="33" t="n">
        <v>54.3</v>
      </c>
      <c r="AE299" s="34" t="n">
        <f aca="false">0.6*AD299</f>
        <v>32.58</v>
      </c>
      <c r="AF299" s="33"/>
      <c r="AG299" s="34" t="n">
        <v>0</v>
      </c>
      <c r="AH299" s="33"/>
      <c r="AI299" s="33" t="n">
        <v>8</v>
      </c>
      <c r="AJ299" s="23" t="n">
        <v>17.3</v>
      </c>
      <c r="AK299" s="33" t="n">
        <v>54.3</v>
      </c>
      <c r="AL299" s="34" t="n">
        <f aca="false">0.6*AK299</f>
        <v>32.58</v>
      </c>
      <c r="AM299" s="33"/>
      <c r="AN299" s="34" t="n">
        <v>0</v>
      </c>
      <c r="AO299" s="2" t="n">
        <v>6.15</v>
      </c>
      <c r="AP299" s="23" t="n">
        <v>17.1</v>
      </c>
      <c r="AQ299" s="33" t="n">
        <v>199</v>
      </c>
      <c r="AR299" s="34" t="n">
        <f aca="false">0.55*AQ299</f>
        <v>109.45</v>
      </c>
      <c r="AS299" s="34" t="n">
        <v>0</v>
      </c>
      <c r="AT299" s="33" t="n">
        <v>7.45</v>
      </c>
      <c r="AU299" s="23" t="n">
        <v>17.3</v>
      </c>
      <c r="AV299" s="33" t="n">
        <v>322</v>
      </c>
      <c r="AW299" s="34" t="n">
        <f aca="false">AV299*0.6</f>
        <v>193.2</v>
      </c>
      <c r="AX299" s="34" t="n">
        <v>1</v>
      </c>
      <c r="AY299" s="34" t="n">
        <v>0.17</v>
      </c>
    </row>
    <row r="300" customFormat="false" ht="15" hidden="false" customHeight="false" outlineLevel="0" collapsed="false">
      <c r="A300" s="16" t="n">
        <v>45600</v>
      </c>
      <c r="B300" s="2" t="s">
        <v>52</v>
      </c>
      <c r="C300" s="29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</row>
    <row r="301" customFormat="false" ht="15" hidden="false" customHeight="false" outlineLevel="0" collapsed="false">
      <c r="A301" s="16" t="n">
        <v>45600</v>
      </c>
      <c r="B301" s="2" t="s">
        <v>57</v>
      </c>
      <c r="C301" s="29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</row>
    <row r="302" customFormat="false" ht="15" hidden="false" customHeight="false" outlineLevel="0" collapsed="false">
      <c r="A302" s="16" t="n">
        <v>45630</v>
      </c>
      <c r="B302" s="2" t="s">
        <v>51</v>
      </c>
      <c r="C302" s="29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</row>
    <row r="303" customFormat="false" ht="15" hidden="false" customHeight="false" outlineLevel="0" collapsed="false">
      <c r="A303" s="16" t="n">
        <v>45630</v>
      </c>
      <c r="B303" s="2" t="s">
        <v>52</v>
      </c>
      <c r="C303" s="29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</row>
    <row r="304" customFormat="false" ht="15" hidden="false" customHeight="false" outlineLevel="0" collapsed="false">
      <c r="A304" s="16" t="n">
        <v>45630</v>
      </c>
      <c r="B304" s="2" t="s">
        <v>57</v>
      </c>
      <c r="C304" s="29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</row>
    <row r="305" customFormat="false" ht="15" hidden="false" customHeight="false" outlineLevel="0" collapsed="false">
      <c r="A305" s="16" t="s">
        <v>95</v>
      </c>
      <c r="B305" s="2" t="s">
        <v>51</v>
      </c>
      <c r="C305" s="32" t="n">
        <v>8.11</v>
      </c>
      <c r="D305" s="23" t="n">
        <v>18.8</v>
      </c>
      <c r="E305" s="33" t="n">
        <v>54.6</v>
      </c>
      <c r="F305" s="34" t="n">
        <f aca="false">0.6*E305</f>
        <v>32.76</v>
      </c>
      <c r="G305" s="33" t="n">
        <v>1.37</v>
      </c>
      <c r="H305" s="33" t="n">
        <v>8.1</v>
      </c>
      <c r="I305" s="23" t="n">
        <v>18.2</v>
      </c>
      <c r="J305" s="49"/>
      <c r="K305" s="37"/>
      <c r="L305" s="33" t="n">
        <v>2.81</v>
      </c>
      <c r="M305" s="33" t="n">
        <v>8.1</v>
      </c>
      <c r="N305" s="23" t="n">
        <v>18.2</v>
      </c>
      <c r="O305" s="49"/>
      <c r="P305" s="37"/>
      <c r="Q305" s="33" t="n">
        <v>2.88</v>
      </c>
      <c r="R305" s="33" t="n">
        <v>8.05</v>
      </c>
      <c r="S305" s="23" t="n">
        <v>17.8</v>
      </c>
      <c r="T305" s="49"/>
      <c r="U305" s="37"/>
      <c r="V305" s="34" t="n">
        <v>0</v>
      </c>
      <c r="W305" s="33" t="n">
        <v>8.05</v>
      </c>
      <c r="X305" s="23" t="n">
        <v>17.8</v>
      </c>
      <c r="Y305" s="49"/>
      <c r="Z305" s="37"/>
      <c r="AA305" s="34" t="n">
        <v>0</v>
      </c>
      <c r="AB305" s="33" t="n">
        <v>8</v>
      </c>
      <c r="AC305" s="23" t="n">
        <v>17.3</v>
      </c>
      <c r="AD305" s="33" t="n">
        <v>54.5</v>
      </c>
      <c r="AE305" s="34" t="n">
        <f aca="false">0.6*AD305</f>
        <v>32.7</v>
      </c>
      <c r="AF305" s="33"/>
      <c r="AG305" s="34" t="n">
        <v>0</v>
      </c>
      <c r="AH305" s="33"/>
      <c r="AI305" s="33" t="n">
        <v>8</v>
      </c>
      <c r="AJ305" s="23" t="n">
        <v>17.3</v>
      </c>
      <c r="AK305" s="33" t="n">
        <v>54.5</v>
      </c>
      <c r="AL305" s="34" t="n">
        <f aca="false">0.6*AK305</f>
        <v>32.7</v>
      </c>
      <c r="AM305" s="33"/>
      <c r="AN305" s="34" t="n">
        <v>0</v>
      </c>
      <c r="AO305" s="2" t="n">
        <v>6.25</v>
      </c>
      <c r="AP305" s="23" t="n">
        <v>17.5</v>
      </c>
      <c r="AQ305" s="33" t="n">
        <v>198</v>
      </c>
      <c r="AR305" s="34" t="n">
        <f aca="false">0.55*AQ305</f>
        <v>108.9</v>
      </c>
      <c r="AS305" s="34" t="n">
        <v>0</v>
      </c>
      <c r="AT305" s="33" t="n">
        <v>7.38</v>
      </c>
      <c r="AU305" s="23" t="n">
        <v>18.2</v>
      </c>
      <c r="AV305" s="33" t="n">
        <v>380</v>
      </c>
      <c r="AW305" s="34" t="n">
        <f aca="false">AV305*0.6</f>
        <v>228</v>
      </c>
      <c r="AX305" s="34" t="n">
        <v>1</v>
      </c>
      <c r="AY305" s="34" t="n">
        <v>0</v>
      </c>
    </row>
    <row r="306" customFormat="false" ht="15" hidden="false" customHeight="false" outlineLevel="0" collapsed="false">
      <c r="A306" s="16" t="s">
        <v>95</v>
      </c>
      <c r="B306" s="2" t="s">
        <v>52</v>
      </c>
      <c r="C306" s="32" t="n">
        <v>8.12</v>
      </c>
      <c r="D306" s="23" t="n">
        <v>18.9</v>
      </c>
      <c r="E306" s="33" t="n">
        <v>54.6</v>
      </c>
      <c r="F306" s="34" t="n">
        <f aca="false">E306*0.6</f>
        <v>32.76</v>
      </c>
      <c r="G306" s="33" t="n">
        <v>1.22</v>
      </c>
      <c r="H306" s="33" t="n">
        <v>8.1</v>
      </c>
      <c r="I306" s="23" t="n">
        <v>18.7</v>
      </c>
      <c r="J306" s="49"/>
      <c r="K306" s="49"/>
      <c r="L306" s="33" t="n">
        <v>1.96</v>
      </c>
      <c r="M306" s="33" t="n">
        <v>8.1</v>
      </c>
      <c r="N306" s="23" t="n">
        <v>18.7</v>
      </c>
      <c r="O306" s="49"/>
      <c r="P306" s="49"/>
      <c r="Q306" s="33" t="n">
        <v>2.03</v>
      </c>
      <c r="R306" s="34" t="n">
        <v>8.06</v>
      </c>
      <c r="S306" s="19" t="n">
        <v>17.6</v>
      </c>
      <c r="T306" s="49"/>
      <c r="U306" s="49"/>
      <c r="V306" s="34" t="n">
        <v>0</v>
      </c>
      <c r="W306" s="33" t="n">
        <v>8.06</v>
      </c>
      <c r="X306" s="23" t="n">
        <v>17.6</v>
      </c>
      <c r="Y306" s="49"/>
      <c r="Z306" s="49"/>
      <c r="AA306" s="34" t="n">
        <v>0</v>
      </c>
      <c r="AB306" s="33" t="n">
        <v>8.02</v>
      </c>
      <c r="AC306" s="23" t="n">
        <v>17.4</v>
      </c>
      <c r="AD306" s="33" t="n">
        <v>54.5</v>
      </c>
      <c r="AE306" s="34" t="n">
        <f aca="false">AD306*0.6</f>
        <v>32.7</v>
      </c>
      <c r="AF306" s="33"/>
      <c r="AG306" s="34" t="n">
        <v>0</v>
      </c>
      <c r="AH306" s="33" t="s">
        <v>75</v>
      </c>
      <c r="AI306" s="33" t="n">
        <v>8.02</v>
      </c>
      <c r="AJ306" s="23" t="n">
        <v>17.4</v>
      </c>
      <c r="AK306" s="33" t="n">
        <v>54.5</v>
      </c>
      <c r="AL306" s="34" t="n">
        <f aca="false">AK306*0.6</f>
        <v>32.7</v>
      </c>
      <c r="AM306" s="33"/>
      <c r="AN306" s="34" t="n">
        <v>0</v>
      </c>
      <c r="AO306" s="2" t="n">
        <v>6.24</v>
      </c>
      <c r="AP306" s="23" t="n">
        <v>17.6</v>
      </c>
      <c r="AQ306" s="33" t="n">
        <v>196</v>
      </c>
      <c r="AR306" s="34" t="n">
        <f aca="false">0.55*AQ306</f>
        <v>107.8</v>
      </c>
      <c r="AS306" s="34" t="n">
        <v>0</v>
      </c>
      <c r="AT306" s="33" t="n">
        <v>7.22</v>
      </c>
      <c r="AU306" s="23" t="n">
        <v>18.4</v>
      </c>
      <c r="AV306" s="33" t="n">
        <v>347</v>
      </c>
      <c r="AW306" s="34" t="n">
        <f aca="false">0.55*AV306</f>
        <v>190.85</v>
      </c>
      <c r="AX306" s="34" t="n">
        <v>1</v>
      </c>
      <c r="AY306" s="34" t="n">
        <v>0</v>
      </c>
    </row>
    <row r="307" customFormat="false" ht="15" hidden="false" customHeight="false" outlineLevel="0" collapsed="false">
      <c r="A307" s="16" t="s">
        <v>95</v>
      </c>
      <c r="B307" s="2" t="s">
        <v>57</v>
      </c>
      <c r="C307" s="32" t="n">
        <v>8.13</v>
      </c>
      <c r="D307" s="23" t="n">
        <v>19</v>
      </c>
      <c r="E307" s="33" t="n">
        <v>54.5</v>
      </c>
      <c r="F307" s="34" t="n">
        <f aca="false">0.6*E307</f>
        <v>32.7</v>
      </c>
      <c r="G307" s="33" t="n">
        <v>1.09</v>
      </c>
      <c r="H307" s="33" t="n">
        <v>8.1</v>
      </c>
      <c r="I307" s="23" t="n">
        <v>19</v>
      </c>
      <c r="J307" s="49"/>
      <c r="K307" s="49"/>
      <c r="L307" s="33" t="n">
        <v>1.23</v>
      </c>
      <c r="M307" s="33" t="n">
        <v>8.1</v>
      </c>
      <c r="N307" s="23" t="n">
        <v>19</v>
      </c>
      <c r="O307" s="49"/>
      <c r="P307" s="49"/>
      <c r="Q307" s="33" t="n">
        <v>1.27</v>
      </c>
      <c r="R307" s="34" t="n">
        <v>8.07</v>
      </c>
      <c r="S307" s="19" t="n">
        <v>18.7</v>
      </c>
      <c r="T307" s="49"/>
      <c r="U307" s="49"/>
      <c r="V307" s="34" t="n">
        <v>0</v>
      </c>
      <c r="W307" s="33" t="n">
        <v>8.07</v>
      </c>
      <c r="X307" s="23" t="n">
        <v>18.7</v>
      </c>
      <c r="Y307" s="49"/>
      <c r="Z307" s="49"/>
      <c r="AA307" s="34" t="n">
        <v>0</v>
      </c>
      <c r="AB307" s="33" t="n">
        <v>8.02</v>
      </c>
      <c r="AC307" s="23" t="n">
        <v>17.5</v>
      </c>
      <c r="AD307" s="33" t="n">
        <v>54.4</v>
      </c>
      <c r="AE307" s="34" t="n">
        <f aca="false">AD307*0.6</f>
        <v>32.64</v>
      </c>
      <c r="AF307" s="33"/>
      <c r="AG307" s="34" t="n">
        <v>0</v>
      </c>
      <c r="AH307" s="45"/>
      <c r="AI307" s="33" t="n">
        <v>8.02</v>
      </c>
      <c r="AJ307" s="23" t="n">
        <v>17.5</v>
      </c>
      <c r="AK307" s="33" t="n">
        <v>54.4</v>
      </c>
      <c r="AL307" s="34" t="n">
        <f aca="false">AK307*0.6</f>
        <v>32.64</v>
      </c>
      <c r="AM307" s="33"/>
      <c r="AN307" s="34" t="n">
        <v>0</v>
      </c>
      <c r="AO307" s="2" t="n">
        <v>6.19</v>
      </c>
      <c r="AP307" s="23" t="n">
        <v>17.6</v>
      </c>
      <c r="AQ307" s="33" t="n">
        <v>199</v>
      </c>
      <c r="AR307" s="34" t="n">
        <f aca="false">AQ307*0.55</f>
        <v>109.45</v>
      </c>
      <c r="AS307" s="34" t="n">
        <v>0</v>
      </c>
      <c r="AT307" s="33" t="n">
        <v>7.02</v>
      </c>
      <c r="AU307" s="23" t="n">
        <v>20</v>
      </c>
      <c r="AV307" s="33" t="n">
        <v>317</v>
      </c>
      <c r="AW307" s="34" t="n">
        <f aca="false">0.55*AV307</f>
        <v>174.35</v>
      </c>
      <c r="AX307" s="34" t="n">
        <v>1.2</v>
      </c>
      <c r="AY307" s="34" t="n">
        <v>0.02</v>
      </c>
    </row>
    <row r="308" customFormat="false" ht="15" hidden="false" customHeight="false" outlineLevel="0" collapsed="false">
      <c r="A308" s="16" t="s">
        <v>96</v>
      </c>
      <c r="B308" s="2" t="s">
        <v>51</v>
      </c>
      <c r="C308" s="32" t="n">
        <v>8.12</v>
      </c>
      <c r="D308" s="23" t="n">
        <v>18.9</v>
      </c>
      <c r="E308" s="33" t="n">
        <v>54.4</v>
      </c>
      <c r="F308" s="34" t="n">
        <f aca="false">0.6*E308</f>
        <v>32.64</v>
      </c>
      <c r="G308" s="33" t="n">
        <v>0.27</v>
      </c>
      <c r="H308" s="33" t="n">
        <v>8.1</v>
      </c>
      <c r="I308" s="23" t="n">
        <v>18.7</v>
      </c>
      <c r="J308" s="49"/>
      <c r="K308" s="37"/>
      <c r="L308" s="33" t="n">
        <v>1.27</v>
      </c>
      <c r="M308" s="33" t="n">
        <v>8.1</v>
      </c>
      <c r="N308" s="23" t="n">
        <v>18.7</v>
      </c>
      <c r="O308" s="49" t="s">
        <v>97</v>
      </c>
      <c r="P308" s="37"/>
      <c r="Q308" s="33" t="n">
        <v>1.33</v>
      </c>
      <c r="R308" s="33" t="n">
        <v>8.07</v>
      </c>
      <c r="S308" s="23" t="n">
        <v>17.3</v>
      </c>
      <c r="T308" s="49"/>
      <c r="U308" s="37"/>
      <c r="V308" s="34" t="n">
        <v>0.02</v>
      </c>
      <c r="W308" s="33" t="n">
        <v>8.07</v>
      </c>
      <c r="X308" s="23" t="n">
        <v>17.3</v>
      </c>
      <c r="Y308" s="49"/>
      <c r="Z308" s="37"/>
      <c r="AA308" s="34" t="n">
        <v>0.03</v>
      </c>
      <c r="AB308" s="33" t="n">
        <v>8.02</v>
      </c>
      <c r="AC308" s="23" t="n">
        <v>17.5</v>
      </c>
      <c r="AD308" s="33" t="n">
        <v>54.5</v>
      </c>
      <c r="AE308" s="34" t="n">
        <f aca="false">0.6*AD308</f>
        <v>32.7</v>
      </c>
      <c r="AF308" s="33"/>
      <c r="AG308" s="34" t="n">
        <v>0</v>
      </c>
      <c r="AH308" s="33"/>
      <c r="AI308" s="33" t="n">
        <v>8.02</v>
      </c>
      <c r="AJ308" s="23" t="n">
        <v>17.5</v>
      </c>
      <c r="AK308" s="33" t="n">
        <v>54.5</v>
      </c>
      <c r="AL308" s="34" t="n">
        <f aca="false">0.6*AK308</f>
        <v>32.7</v>
      </c>
      <c r="AM308" s="33"/>
      <c r="AN308" s="34" t="n">
        <v>0</v>
      </c>
      <c r="AO308" s="2" t="n">
        <v>6.25</v>
      </c>
      <c r="AP308" s="23" t="n">
        <v>17.5</v>
      </c>
      <c r="AQ308" s="33" t="n">
        <v>190</v>
      </c>
      <c r="AR308" s="34" t="n">
        <f aca="false">0.55*AQ308</f>
        <v>104.5</v>
      </c>
      <c r="AS308" s="34" t="n">
        <v>0</v>
      </c>
      <c r="AT308" s="33" t="n">
        <v>7.45</v>
      </c>
      <c r="AU308" s="23" t="n">
        <v>18.7</v>
      </c>
      <c r="AV308" s="33" t="n">
        <v>314</v>
      </c>
      <c r="AW308" s="34" t="n">
        <f aca="false">AV308*0.6</f>
        <v>188.4</v>
      </c>
      <c r="AX308" s="34" t="n">
        <v>1</v>
      </c>
      <c r="AY308" s="34" t="n">
        <v>0.02</v>
      </c>
    </row>
    <row r="309" customFormat="false" ht="15" hidden="false" customHeight="false" outlineLevel="0" collapsed="false">
      <c r="A309" s="16" t="s">
        <v>96</v>
      </c>
      <c r="B309" s="2" t="s">
        <v>52</v>
      </c>
      <c r="C309" s="32" t="n">
        <v>8.12</v>
      </c>
      <c r="D309" s="23" t="n">
        <v>19.2</v>
      </c>
      <c r="E309" s="33" t="n">
        <v>54.4</v>
      </c>
      <c r="F309" s="34" t="n">
        <f aca="false">E309*0.6</f>
        <v>32.64</v>
      </c>
      <c r="G309" s="33" t="n">
        <v>0.33</v>
      </c>
      <c r="H309" s="33" t="n">
        <v>8.09</v>
      </c>
      <c r="I309" s="23" t="n">
        <v>18.1</v>
      </c>
      <c r="J309" s="49"/>
      <c r="K309" s="49"/>
      <c r="L309" s="33" t="n">
        <v>1.71</v>
      </c>
      <c r="M309" s="33" t="n">
        <v>8.09</v>
      </c>
      <c r="N309" s="23" t="n">
        <v>18.1</v>
      </c>
      <c r="O309" s="49"/>
      <c r="P309" s="49"/>
      <c r="Q309" s="33" t="n">
        <v>1.62</v>
      </c>
      <c r="R309" s="34" t="n">
        <v>8.05</v>
      </c>
      <c r="S309" s="19" t="n">
        <v>18</v>
      </c>
      <c r="T309" s="49"/>
      <c r="U309" s="49"/>
      <c r="V309" s="34" t="n">
        <v>0.11</v>
      </c>
      <c r="W309" s="33" t="n">
        <v>8.05</v>
      </c>
      <c r="X309" s="23" t="n">
        <v>18</v>
      </c>
      <c r="Y309" s="49"/>
      <c r="Z309" s="49"/>
      <c r="AA309" s="34" t="n">
        <v>0.02</v>
      </c>
      <c r="AB309" s="33" t="n">
        <v>8</v>
      </c>
      <c r="AC309" s="23" t="n">
        <v>18.3</v>
      </c>
      <c r="AD309" s="33" t="n">
        <v>54.4</v>
      </c>
      <c r="AE309" s="34" t="n">
        <f aca="false">AD309*0.6</f>
        <v>32.64</v>
      </c>
      <c r="AF309" s="33"/>
      <c r="AG309" s="34" t="n">
        <v>0.03</v>
      </c>
      <c r="AH309" s="33" t="s">
        <v>75</v>
      </c>
      <c r="AI309" s="33" t="n">
        <v>8</v>
      </c>
      <c r="AJ309" s="23" t="n">
        <v>18.3</v>
      </c>
      <c r="AK309" s="33" t="n">
        <v>54.4</v>
      </c>
      <c r="AL309" s="34" t="n">
        <f aca="false">AK309*0.6</f>
        <v>32.64</v>
      </c>
      <c r="AM309" s="33"/>
      <c r="AN309" s="34" t="n">
        <v>0</v>
      </c>
      <c r="AO309" s="2" t="n">
        <v>6.2</v>
      </c>
      <c r="AP309" s="23" t="n">
        <v>18.6</v>
      </c>
      <c r="AQ309" s="33" t="n">
        <v>204</v>
      </c>
      <c r="AR309" s="34" t="n">
        <f aca="false">0.55*AQ309</f>
        <v>112.2</v>
      </c>
      <c r="AS309" s="34" t="n">
        <v>0.06</v>
      </c>
      <c r="AT309" s="33" t="n">
        <v>7.4</v>
      </c>
      <c r="AU309" s="23" t="n">
        <v>19.5</v>
      </c>
      <c r="AV309" s="33" t="n">
        <v>323</v>
      </c>
      <c r="AW309" s="34" t="n">
        <f aca="false">0.55*AV309</f>
        <v>177.65</v>
      </c>
      <c r="AX309" s="34"/>
      <c r="AY309" s="34" t="n">
        <v>0.02</v>
      </c>
    </row>
    <row r="310" customFormat="false" ht="15" hidden="false" customHeight="false" outlineLevel="0" collapsed="false">
      <c r="A310" s="16" t="s">
        <v>96</v>
      </c>
      <c r="B310" s="2" t="s">
        <v>57</v>
      </c>
      <c r="C310" s="32" t="n">
        <v>8.15</v>
      </c>
      <c r="D310" s="23" t="n">
        <v>19.1</v>
      </c>
      <c r="E310" s="33" t="n">
        <v>54.5</v>
      </c>
      <c r="F310" s="34" t="n">
        <f aca="false">0.6*E310</f>
        <v>32.7</v>
      </c>
      <c r="G310" s="33" t="n">
        <v>0.84</v>
      </c>
      <c r="H310" s="33" t="n">
        <v>8.1</v>
      </c>
      <c r="I310" s="23" t="n">
        <v>19</v>
      </c>
      <c r="J310" s="49"/>
      <c r="K310" s="49"/>
      <c r="L310" s="33" t="n">
        <v>1.82</v>
      </c>
      <c r="M310" s="33" t="n">
        <v>8.1</v>
      </c>
      <c r="N310" s="23" t="n">
        <v>19</v>
      </c>
      <c r="O310" s="49"/>
      <c r="P310" s="49"/>
      <c r="Q310" s="33" t="n">
        <v>1.88</v>
      </c>
      <c r="R310" s="34" t="n">
        <v>8.08</v>
      </c>
      <c r="S310" s="19" t="n">
        <v>17.5</v>
      </c>
      <c r="T310" s="49"/>
      <c r="U310" s="49"/>
      <c r="V310" s="34" t="n">
        <v>0.04</v>
      </c>
      <c r="W310" s="33" t="n">
        <v>8.08</v>
      </c>
      <c r="X310" s="23" t="n">
        <v>17.5</v>
      </c>
      <c r="Y310" s="49"/>
      <c r="Z310" s="49"/>
      <c r="AA310" s="34" t="n">
        <v>0.02</v>
      </c>
      <c r="AB310" s="33" t="n">
        <v>8</v>
      </c>
      <c r="AC310" s="23" t="n">
        <v>18.9</v>
      </c>
      <c r="AD310" s="33" t="n">
        <v>54.4</v>
      </c>
      <c r="AE310" s="34" t="n">
        <f aca="false">AD310*0.6</f>
        <v>32.64</v>
      </c>
      <c r="AF310" s="33"/>
      <c r="AG310" s="34" t="n">
        <v>0</v>
      </c>
      <c r="AH310" s="45"/>
      <c r="AI310" s="33" t="n">
        <v>8</v>
      </c>
      <c r="AJ310" s="23" t="n">
        <v>18.9</v>
      </c>
      <c r="AK310" s="33" t="n">
        <v>54.4</v>
      </c>
      <c r="AL310" s="34" t="n">
        <f aca="false">AK310*0.6</f>
        <v>32.64</v>
      </c>
      <c r="AM310" s="33"/>
      <c r="AN310" s="34" t="n">
        <v>0</v>
      </c>
      <c r="AO310" s="2" t="n">
        <v>6.23</v>
      </c>
      <c r="AP310" s="23" t="n">
        <v>19.3</v>
      </c>
      <c r="AQ310" s="33" t="n">
        <v>220</v>
      </c>
      <c r="AR310" s="34" t="n">
        <f aca="false">AQ310*0.55</f>
        <v>121</v>
      </c>
      <c r="AS310" s="34" t="n">
        <v>0</v>
      </c>
      <c r="AT310" s="33" t="n">
        <v>7.2</v>
      </c>
      <c r="AU310" s="23" t="n">
        <v>19</v>
      </c>
      <c r="AV310" s="33" t="n">
        <v>330</v>
      </c>
      <c r="AW310" s="34" t="n">
        <f aca="false">0.55*AV310</f>
        <v>181.5</v>
      </c>
      <c r="AX310" s="34" t="n">
        <v>1</v>
      </c>
      <c r="AY310" s="34" t="n">
        <v>0.03</v>
      </c>
    </row>
    <row r="311" customFormat="false" ht="15" hidden="false" customHeight="false" outlineLevel="0" collapsed="false">
      <c r="A311" s="16" t="s">
        <v>98</v>
      </c>
      <c r="B311" s="2" t="s">
        <v>51</v>
      </c>
      <c r="C311" s="32" t="n">
        <v>8.15</v>
      </c>
      <c r="D311" s="23" t="n">
        <v>18</v>
      </c>
      <c r="E311" s="33" t="n">
        <v>54.5</v>
      </c>
      <c r="F311" s="34" t="n">
        <f aca="false">0.6*E311</f>
        <v>32.7</v>
      </c>
      <c r="G311" s="33" t="n">
        <v>0.78</v>
      </c>
      <c r="H311" s="33" t="n">
        <v>8.1</v>
      </c>
      <c r="I311" s="23" t="n">
        <v>18</v>
      </c>
      <c r="J311" s="49"/>
      <c r="K311" s="37"/>
      <c r="L311" s="33" t="n">
        <v>2.02</v>
      </c>
      <c r="M311" s="33" t="n">
        <v>8.1</v>
      </c>
      <c r="N311" s="23" t="n">
        <v>18</v>
      </c>
      <c r="O311" s="49"/>
      <c r="P311" s="37"/>
      <c r="Q311" s="33" t="n">
        <v>1.97</v>
      </c>
      <c r="R311" s="33" t="n">
        <v>8.05</v>
      </c>
      <c r="S311" s="23" t="n">
        <v>17.5</v>
      </c>
      <c r="T311" s="49"/>
      <c r="U311" s="37"/>
      <c r="V311" s="34" t="n">
        <v>0</v>
      </c>
      <c r="W311" s="33" t="n">
        <v>8.05</v>
      </c>
      <c r="X311" s="23" t="n">
        <v>17.5</v>
      </c>
      <c r="Y311" s="49"/>
      <c r="Z311" s="37"/>
      <c r="AA311" s="34" t="n">
        <v>0</v>
      </c>
      <c r="AB311" s="33" t="n">
        <v>8.02</v>
      </c>
      <c r="AC311" s="23" t="n">
        <v>17.3</v>
      </c>
      <c r="AD311" s="33" t="n">
        <v>54.5</v>
      </c>
      <c r="AE311" s="34" t="n">
        <f aca="false">0.6*AD311</f>
        <v>32.7</v>
      </c>
      <c r="AF311" s="33"/>
      <c r="AG311" s="34" t="n">
        <v>0</v>
      </c>
      <c r="AH311" s="33"/>
      <c r="AI311" s="33" t="n">
        <v>8.02</v>
      </c>
      <c r="AJ311" s="23" t="n">
        <v>17.3</v>
      </c>
      <c r="AK311" s="33" t="n">
        <v>54.5</v>
      </c>
      <c r="AL311" s="34" t="n">
        <f aca="false">0.6*AK311</f>
        <v>32.7</v>
      </c>
      <c r="AM311" s="33"/>
      <c r="AN311" s="34" t="n">
        <v>0</v>
      </c>
      <c r="AO311" s="2" t="n">
        <v>6.25</v>
      </c>
      <c r="AP311" s="23" t="n">
        <v>17.4</v>
      </c>
      <c r="AQ311" s="33" t="n">
        <v>199</v>
      </c>
      <c r="AR311" s="34" t="n">
        <f aca="false">0.55*AQ311</f>
        <v>109.45</v>
      </c>
      <c r="AS311" s="34" t="n">
        <v>0</v>
      </c>
      <c r="AT311" s="33" t="n">
        <v>7.23</v>
      </c>
      <c r="AU311" s="23" t="n">
        <v>19.3</v>
      </c>
      <c r="AV311" s="33" t="n">
        <v>326</v>
      </c>
      <c r="AW311" s="34" t="n">
        <f aca="false">AV311*0.6</f>
        <v>195.6</v>
      </c>
      <c r="AX311" s="34" t="n">
        <v>1</v>
      </c>
      <c r="AY311" s="34" t="n">
        <v>0.05</v>
      </c>
    </row>
    <row r="312" customFormat="false" ht="15" hidden="false" customHeight="false" outlineLevel="0" collapsed="false">
      <c r="A312" s="16" t="s">
        <v>98</v>
      </c>
      <c r="B312" s="2" t="s">
        <v>52</v>
      </c>
      <c r="C312" s="32" t="n">
        <v>8.12</v>
      </c>
      <c r="D312" s="23" t="n">
        <v>19.2</v>
      </c>
      <c r="E312" s="33" t="n">
        <v>54.5</v>
      </c>
      <c r="F312" s="34" t="n">
        <f aca="false">E312*0.6</f>
        <v>32.7</v>
      </c>
      <c r="G312" s="33" t="n">
        <v>0.14</v>
      </c>
      <c r="H312" s="33" t="n">
        <v>8.08</v>
      </c>
      <c r="I312" s="23" t="n">
        <v>18</v>
      </c>
      <c r="J312" s="49"/>
      <c r="K312" s="49"/>
      <c r="L312" s="33" t="n">
        <v>1.05</v>
      </c>
      <c r="M312" s="33" t="n">
        <v>8.08</v>
      </c>
      <c r="N312" s="23" t="n">
        <v>18</v>
      </c>
      <c r="O312" s="49"/>
      <c r="P312" s="49"/>
      <c r="Q312" s="33" t="n">
        <v>0.77</v>
      </c>
      <c r="R312" s="34" t="n">
        <v>8.05</v>
      </c>
      <c r="S312" s="19" t="n">
        <v>18</v>
      </c>
      <c r="T312" s="49"/>
      <c r="U312" s="49"/>
      <c r="V312" s="34" t="n">
        <v>0.06</v>
      </c>
      <c r="W312" s="33" t="n">
        <v>8.05</v>
      </c>
      <c r="X312" s="23" t="n">
        <v>18</v>
      </c>
      <c r="Y312" s="49"/>
      <c r="Z312" s="49"/>
      <c r="AA312" s="34" t="n">
        <v>0.02</v>
      </c>
      <c r="AB312" s="33" t="n">
        <v>8.02</v>
      </c>
      <c r="AC312" s="23" t="n">
        <v>18.2</v>
      </c>
      <c r="AD312" s="33" t="n">
        <v>54.4</v>
      </c>
      <c r="AE312" s="34" t="n">
        <f aca="false">AD312*0.6</f>
        <v>32.64</v>
      </c>
      <c r="AF312" s="33"/>
      <c r="AG312" s="34" t="n">
        <v>0</v>
      </c>
      <c r="AH312" s="33" t="s">
        <v>75</v>
      </c>
      <c r="AI312" s="33" t="n">
        <v>8.02</v>
      </c>
      <c r="AJ312" s="23" t="n">
        <v>18.3</v>
      </c>
      <c r="AK312" s="33" t="n">
        <v>54.4</v>
      </c>
      <c r="AL312" s="34" t="n">
        <f aca="false">AK312*0.6</f>
        <v>32.64</v>
      </c>
      <c r="AM312" s="33"/>
      <c r="AN312" s="34" t="n">
        <v>0</v>
      </c>
      <c r="AO312" s="2" t="n">
        <v>6.26</v>
      </c>
      <c r="AP312" s="23" t="n">
        <v>19.1</v>
      </c>
      <c r="AQ312" s="33" t="n">
        <v>202</v>
      </c>
      <c r="AR312" s="34" t="n">
        <f aca="false">0.55*AQ312</f>
        <v>111.1</v>
      </c>
      <c r="AS312" s="34" t="n">
        <v>0</v>
      </c>
      <c r="AT312" s="33" t="n">
        <v>7.16</v>
      </c>
      <c r="AU312" s="23" t="n">
        <v>19</v>
      </c>
      <c r="AV312" s="33" t="n">
        <v>314</v>
      </c>
      <c r="AW312" s="34" t="n">
        <f aca="false">AV312*0.55</f>
        <v>172.7</v>
      </c>
      <c r="AX312" s="34" t="n">
        <v>0.7</v>
      </c>
      <c r="AY312" s="34" t="n">
        <v>0.05</v>
      </c>
    </row>
    <row r="313" customFormat="false" ht="15" hidden="false" customHeight="false" outlineLevel="0" collapsed="false">
      <c r="A313" s="16" t="s">
        <v>98</v>
      </c>
      <c r="B313" s="2" t="s">
        <v>57</v>
      </c>
      <c r="C313" s="32" t="n">
        <v>8.14</v>
      </c>
      <c r="D313" s="23" t="n">
        <v>19.8</v>
      </c>
      <c r="E313" s="33" t="n">
        <v>54.5</v>
      </c>
      <c r="F313" s="34" t="n">
        <f aca="false">0.6*E313</f>
        <v>32.7</v>
      </c>
      <c r="G313" s="33" t="n">
        <v>0.28</v>
      </c>
      <c r="H313" s="33" t="n">
        <v>8.12</v>
      </c>
      <c r="I313" s="23" t="n">
        <v>19.6</v>
      </c>
      <c r="J313" s="49"/>
      <c r="K313" s="49"/>
      <c r="L313" s="33" t="n">
        <v>1.25</v>
      </c>
      <c r="M313" s="33" t="n">
        <v>8.12</v>
      </c>
      <c r="N313" s="23" t="n">
        <v>19.6</v>
      </c>
      <c r="O313" s="49"/>
      <c r="P313" s="49"/>
      <c r="Q313" s="33" t="n">
        <v>0.96</v>
      </c>
      <c r="R313" s="34" t="n">
        <v>8.09</v>
      </c>
      <c r="S313" s="19" t="n">
        <v>18.7</v>
      </c>
      <c r="T313" s="49"/>
      <c r="U313" s="49"/>
      <c r="V313" s="34" t="n">
        <v>0.02</v>
      </c>
      <c r="W313" s="33" t="n">
        <v>8.02</v>
      </c>
      <c r="X313" s="23" t="n">
        <v>18.7</v>
      </c>
      <c r="Y313" s="49"/>
      <c r="Z313" s="49"/>
      <c r="AA313" s="34" t="n">
        <v>0.02</v>
      </c>
      <c r="AB313" s="33" t="n">
        <v>8.05</v>
      </c>
      <c r="AC313" s="23" t="n">
        <v>18.3</v>
      </c>
      <c r="AD313" s="33" t="n">
        <v>54.4</v>
      </c>
      <c r="AE313" s="34" t="n">
        <f aca="false">AD313*0.6</f>
        <v>32.64</v>
      </c>
      <c r="AF313" s="33"/>
      <c r="AG313" s="34" t="n">
        <v>0</v>
      </c>
      <c r="AH313" s="45"/>
      <c r="AI313" s="33" t="n">
        <v>8.05</v>
      </c>
      <c r="AJ313" s="23" t="n">
        <v>18.3</v>
      </c>
      <c r="AK313" s="33" t="n">
        <v>54.4</v>
      </c>
      <c r="AL313" s="34" t="n">
        <f aca="false">AK313*0.6</f>
        <v>32.64</v>
      </c>
      <c r="AM313" s="33"/>
      <c r="AN313" s="34" t="n">
        <v>0</v>
      </c>
      <c r="AO313" s="2" t="n">
        <v>6.27</v>
      </c>
      <c r="AP313" s="23" t="n">
        <v>18.5</v>
      </c>
      <c r="AQ313" s="33" t="n">
        <v>204</v>
      </c>
      <c r="AR313" s="34" t="n">
        <f aca="false">AQ313*0.55</f>
        <v>112.2</v>
      </c>
      <c r="AS313" s="34" t="n">
        <v>0</v>
      </c>
      <c r="AT313" s="33" t="n">
        <v>7.06</v>
      </c>
      <c r="AU313" s="23" t="n">
        <v>19.2</v>
      </c>
      <c r="AV313" s="33" t="n">
        <v>322</v>
      </c>
      <c r="AW313" s="34" t="n">
        <f aca="false">0.55*AV313</f>
        <v>177.1</v>
      </c>
      <c r="AX313" s="34" t="n">
        <v>1</v>
      </c>
      <c r="AY313" s="34" t="n">
        <v>0.02</v>
      </c>
    </row>
    <row r="314" customFormat="false" ht="15" hidden="false" customHeight="false" outlineLevel="0" collapsed="false">
      <c r="A314" s="16" t="s">
        <v>99</v>
      </c>
      <c r="B314" s="2" t="s">
        <v>51</v>
      </c>
      <c r="C314" s="32" t="n">
        <v>8.09</v>
      </c>
      <c r="D314" s="23" t="n">
        <v>19.5</v>
      </c>
      <c r="E314" s="33" t="n">
        <v>54.5</v>
      </c>
      <c r="F314" s="34" t="n">
        <f aca="false">0.6*E314</f>
        <v>32.7</v>
      </c>
      <c r="G314" s="33" t="n">
        <v>0.36</v>
      </c>
      <c r="H314" s="33" t="n">
        <v>8.04</v>
      </c>
      <c r="I314" s="23" t="n">
        <v>18.1</v>
      </c>
      <c r="J314" s="49"/>
      <c r="K314" s="37"/>
      <c r="L314" s="33" t="n">
        <v>1.31</v>
      </c>
      <c r="M314" s="33" t="n">
        <v>8.04</v>
      </c>
      <c r="N314" s="23" t="n">
        <v>18.1</v>
      </c>
      <c r="O314" s="49"/>
      <c r="P314" s="37"/>
      <c r="Q314" s="33" t="n">
        <v>1.04</v>
      </c>
      <c r="R314" s="33" t="n">
        <v>8.01</v>
      </c>
      <c r="S314" s="23" t="n">
        <v>17.4</v>
      </c>
      <c r="T314" s="49"/>
      <c r="U314" s="37"/>
      <c r="V314" s="34" t="n">
        <v>0</v>
      </c>
      <c r="W314" s="33" t="n">
        <v>8.01</v>
      </c>
      <c r="X314" s="23" t="n">
        <v>17.4</v>
      </c>
      <c r="Y314" s="49"/>
      <c r="Z314" s="37"/>
      <c r="AA314" s="34" t="n">
        <v>0</v>
      </c>
      <c r="AB314" s="33" t="n">
        <v>8.04</v>
      </c>
      <c r="AC314" s="23" t="n">
        <v>17.6</v>
      </c>
      <c r="AD314" s="33" t="n">
        <v>54.5</v>
      </c>
      <c r="AE314" s="34" t="n">
        <f aca="false">0.6*AD314</f>
        <v>32.7</v>
      </c>
      <c r="AF314" s="33"/>
      <c r="AG314" s="34" t="n">
        <v>0</v>
      </c>
      <c r="AH314" s="33"/>
      <c r="AI314" s="33" t="n">
        <v>8.02</v>
      </c>
      <c r="AJ314" s="23" t="n">
        <v>17.6</v>
      </c>
      <c r="AK314" s="33" t="n">
        <v>54.5</v>
      </c>
      <c r="AL314" s="34" t="n">
        <f aca="false">0.6*AK314</f>
        <v>32.7</v>
      </c>
      <c r="AM314" s="33"/>
      <c r="AN314" s="34" t="n">
        <v>0</v>
      </c>
      <c r="AO314" s="2" t="n">
        <v>6.33</v>
      </c>
      <c r="AP314" s="23" t="n">
        <v>18.5</v>
      </c>
      <c r="AQ314" s="33" t="n">
        <v>199</v>
      </c>
      <c r="AR314" s="34" t="n">
        <f aca="false">0.55*AQ314</f>
        <v>109.45</v>
      </c>
      <c r="AS314" s="34" t="n">
        <v>0</v>
      </c>
      <c r="AT314" s="33" t="n">
        <v>7.16</v>
      </c>
      <c r="AU314" s="23" t="n">
        <v>19.8</v>
      </c>
      <c r="AV314" s="33" t="n">
        <v>326</v>
      </c>
      <c r="AW314" s="34" t="n">
        <f aca="false">AV314*0.6</f>
        <v>195.6</v>
      </c>
      <c r="AX314" s="34" t="n">
        <v>1</v>
      </c>
      <c r="AY314" s="34" t="n">
        <v>0</v>
      </c>
    </row>
    <row r="315" customFormat="false" ht="15" hidden="false" customHeight="false" outlineLevel="0" collapsed="false">
      <c r="A315" s="16" t="s">
        <v>99</v>
      </c>
      <c r="B315" s="2" t="s">
        <v>52</v>
      </c>
      <c r="C315" s="32" t="n">
        <v>8.13</v>
      </c>
      <c r="D315" s="23" t="n">
        <v>19.2</v>
      </c>
      <c r="E315" s="33" t="n">
        <v>54.5</v>
      </c>
      <c r="F315" s="34" t="n">
        <f aca="false">E315*0.6</f>
        <v>32.7</v>
      </c>
      <c r="G315" s="33" t="n">
        <v>0.44</v>
      </c>
      <c r="H315" s="33" t="n">
        <v>8.09</v>
      </c>
      <c r="I315" s="23" t="n">
        <v>19</v>
      </c>
      <c r="J315" s="49"/>
      <c r="K315" s="49"/>
      <c r="L315" s="33" t="n">
        <v>1.32</v>
      </c>
      <c r="M315" s="33" t="n">
        <v>8.09</v>
      </c>
      <c r="N315" s="23" t="n">
        <v>19</v>
      </c>
      <c r="O315" s="49"/>
      <c r="P315" s="49"/>
      <c r="Q315" s="33" t="n">
        <v>1.24</v>
      </c>
      <c r="R315" s="34" t="n">
        <v>8.08</v>
      </c>
      <c r="S315" s="19" t="n">
        <v>18.2</v>
      </c>
      <c r="T315" s="49"/>
      <c r="U315" s="49"/>
      <c r="V315" s="34" t="n">
        <v>0</v>
      </c>
      <c r="W315" s="33" t="n">
        <v>8.08</v>
      </c>
      <c r="X315" s="23" t="n">
        <v>18.2</v>
      </c>
      <c r="Y315" s="49"/>
      <c r="Z315" s="49"/>
      <c r="AA315" s="34" t="n">
        <v>0</v>
      </c>
      <c r="AB315" s="33" t="n">
        <v>8.05</v>
      </c>
      <c r="AC315" s="23" t="n">
        <v>18.2</v>
      </c>
      <c r="AD315" s="33" t="n">
        <v>54.4</v>
      </c>
      <c r="AE315" s="34" t="n">
        <f aca="false">AD315*0.6</f>
        <v>32.64</v>
      </c>
      <c r="AF315" s="33"/>
      <c r="AG315" s="34" t="n">
        <v>0</v>
      </c>
      <c r="AH315" s="33" t="s">
        <v>75</v>
      </c>
      <c r="AI315" s="33" t="n">
        <v>8.05</v>
      </c>
      <c r="AJ315" s="23" t="n">
        <v>18.3</v>
      </c>
      <c r="AK315" s="33" t="n">
        <v>54.4</v>
      </c>
      <c r="AL315" s="34" t="n">
        <f aca="false">AK315*0.6</f>
        <v>32.64</v>
      </c>
      <c r="AM315" s="33"/>
      <c r="AN315" s="34" t="n">
        <v>0</v>
      </c>
      <c r="AO315" s="2" t="n">
        <v>6.25</v>
      </c>
      <c r="AP315" s="23" t="n">
        <v>19.1</v>
      </c>
      <c r="AQ315" s="33" t="n">
        <v>199</v>
      </c>
      <c r="AR315" s="34" t="n">
        <f aca="false">0.55*AQ315</f>
        <v>109.45</v>
      </c>
      <c r="AS315" s="34" t="n">
        <v>0</v>
      </c>
      <c r="AT315" s="33" t="n">
        <v>7.07</v>
      </c>
      <c r="AU315" s="23" t="n">
        <v>20.2</v>
      </c>
      <c r="AV315" s="33" t="n">
        <v>322</v>
      </c>
      <c r="AW315" s="34" t="n">
        <f aca="false">AV315*0.55</f>
        <v>177.1</v>
      </c>
      <c r="AX315" s="34" t="n">
        <v>1</v>
      </c>
      <c r="AY315" s="34" t="n">
        <v>0</v>
      </c>
    </row>
    <row r="316" customFormat="false" ht="15" hidden="false" customHeight="false" outlineLevel="0" collapsed="false">
      <c r="A316" s="16" t="s">
        <v>99</v>
      </c>
      <c r="B316" s="2" t="s">
        <v>57</v>
      </c>
      <c r="C316" s="29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</row>
    <row r="317" customFormat="false" ht="15" hidden="false" customHeight="false" outlineLevel="0" collapsed="false">
      <c r="A317" s="16" t="s">
        <v>100</v>
      </c>
      <c r="B317" s="2" t="s">
        <v>51</v>
      </c>
      <c r="C317" s="32" t="n">
        <v>8.09</v>
      </c>
      <c r="D317" s="23" t="n">
        <v>18.9</v>
      </c>
      <c r="E317" s="33" t="n">
        <v>54.5</v>
      </c>
      <c r="F317" s="34" t="n">
        <f aca="false">0.6*E317</f>
        <v>32.7</v>
      </c>
      <c r="G317" s="33" t="n">
        <v>0.57</v>
      </c>
      <c r="H317" s="33" t="n">
        <v>8.08</v>
      </c>
      <c r="I317" s="23" t="n">
        <v>18.8</v>
      </c>
      <c r="J317" s="49"/>
      <c r="K317" s="37"/>
      <c r="L317" s="33" t="n">
        <v>1.96</v>
      </c>
      <c r="M317" s="33" t="n">
        <v>8.08</v>
      </c>
      <c r="N317" s="23" t="n">
        <v>18.8</v>
      </c>
      <c r="O317" s="49"/>
      <c r="P317" s="37"/>
      <c r="Q317" s="33" t="n">
        <v>1.14</v>
      </c>
      <c r="R317" s="33" t="n">
        <v>8.05</v>
      </c>
      <c r="S317" s="23" t="n">
        <v>17.9</v>
      </c>
      <c r="T317" s="49"/>
      <c r="U317" s="37"/>
      <c r="V317" s="34" t="n">
        <v>0</v>
      </c>
      <c r="W317" s="33" t="n">
        <v>8.05</v>
      </c>
      <c r="X317" s="23" t="n">
        <v>17.9</v>
      </c>
      <c r="Y317" s="49"/>
      <c r="Z317" s="37" t="n">
        <v>0</v>
      </c>
      <c r="AA317" s="34" t="n">
        <v>0</v>
      </c>
      <c r="AB317" s="33" t="n">
        <v>8.02</v>
      </c>
      <c r="AC317" s="23" t="n">
        <v>18.1</v>
      </c>
      <c r="AD317" s="33" t="n">
        <v>54.5</v>
      </c>
      <c r="AE317" s="34" t="n">
        <f aca="false">0.6*AD317</f>
        <v>32.7</v>
      </c>
      <c r="AF317" s="33"/>
      <c r="AG317" s="34" t="n">
        <v>0</v>
      </c>
      <c r="AH317" s="33"/>
      <c r="AI317" s="33" t="n">
        <v>8.02</v>
      </c>
      <c r="AJ317" s="23" t="n">
        <v>18.1</v>
      </c>
      <c r="AK317" s="33" t="n">
        <v>54.5</v>
      </c>
      <c r="AL317" s="34" t="n">
        <f aca="false">0.6*AK317</f>
        <v>32.7</v>
      </c>
      <c r="AM317" s="33"/>
      <c r="AN317" s="34" t="n">
        <v>0</v>
      </c>
      <c r="AO317" s="2" t="n">
        <v>6.64</v>
      </c>
      <c r="AP317" s="23" t="n">
        <v>18.7</v>
      </c>
      <c r="AQ317" s="33" t="n">
        <v>212</v>
      </c>
      <c r="AR317" s="34" t="n">
        <f aca="false">0.55*AQ317</f>
        <v>116.6</v>
      </c>
      <c r="AS317" s="34" t="n">
        <v>0</v>
      </c>
      <c r="AT317" s="33" t="n">
        <v>7.23</v>
      </c>
      <c r="AU317" s="23" t="n">
        <v>19</v>
      </c>
      <c r="AV317" s="33" t="n">
        <v>377</v>
      </c>
      <c r="AW317" s="34" t="n">
        <f aca="false">AV317*0.6</f>
        <v>226.2</v>
      </c>
      <c r="AX317" s="34" t="n">
        <v>0.8</v>
      </c>
      <c r="AY317" s="34" t="n">
        <v>0</v>
      </c>
    </row>
    <row r="318" customFormat="false" ht="15" hidden="false" customHeight="false" outlineLevel="0" collapsed="false">
      <c r="A318" s="16" t="s">
        <v>100</v>
      </c>
      <c r="B318" s="2" t="s">
        <v>52</v>
      </c>
      <c r="C318" s="32" t="n">
        <v>8.08</v>
      </c>
      <c r="D318" s="23" t="n">
        <v>19.1</v>
      </c>
      <c r="E318" s="33" t="n">
        <v>54.5</v>
      </c>
      <c r="F318" s="34" t="n">
        <f aca="false">E318*0.6</f>
        <v>32.7</v>
      </c>
      <c r="G318" s="33" t="n">
        <v>0.22</v>
      </c>
      <c r="H318" s="33" t="n">
        <v>8.04</v>
      </c>
      <c r="I318" s="23" t="n">
        <v>18.5</v>
      </c>
      <c r="J318" s="49"/>
      <c r="K318" s="49"/>
      <c r="L318" s="33" t="n">
        <v>1.11</v>
      </c>
      <c r="M318" s="33" t="n">
        <v>8.04</v>
      </c>
      <c r="N318" s="23" t="n">
        <v>18.5</v>
      </c>
      <c r="O318" s="49"/>
      <c r="P318" s="49"/>
      <c r="Q318" s="33" t="n">
        <v>0.9</v>
      </c>
      <c r="R318" s="34" t="n">
        <v>8.02</v>
      </c>
      <c r="S318" s="19" t="n">
        <v>18.3</v>
      </c>
      <c r="T318" s="49"/>
      <c r="U318" s="49"/>
      <c r="V318" s="34" t="n">
        <v>0</v>
      </c>
      <c r="W318" s="33" t="n">
        <v>8.02</v>
      </c>
      <c r="X318" s="23" t="n">
        <v>18.3</v>
      </c>
      <c r="Y318" s="49"/>
      <c r="Z318" s="49"/>
      <c r="AA318" s="34" t="n">
        <v>0</v>
      </c>
      <c r="AB318" s="33" t="n">
        <v>8</v>
      </c>
      <c r="AC318" s="23" t="n">
        <v>18.5</v>
      </c>
      <c r="AD318" s="33" t="n">
        <v>54.4</v>
      </c>
      <c r="AE318" s="34" t="n">
        <f aca="false">AD318*0.6</f>
        <v>32.64</v>
      </c>
      <c r="AF318" s="33"/>
      <c r="AG318" s="34" t="n">
        <v>0</v>
      </c>
      <c r="AH318" s="33" t="s">
        <v>75</v>
      </c>
      <c r="AI318" s="33" t="n">
        <v>8</v>
      </c>
      <c r="AJ318" s="23" t="n">
        <v>18.4</v>
      </c>
      <c r="AK318" s="33" t="n">
        <v>54.4</v>
      </c>
      <c r="AL318" s="34" t="n">
        <f aca="false">AK318*0.6</f>
        <v>32.64</v>
      </c>
      <c r="AM318" s="33"/>
      <c r="AN318" s="34" t="n">
        <v>0</v>
      </c>
      <c r="AO318" s="2" t="n">
        <v>6.11</v>
      </c>
      <c r="AP318" s="23" t="n">
        <v>18.8</v>
      </c>
      <c r="AQ318" s="33" t="n">
        <v>222</v>
      </c>
      <c r="AR318" s="34" t="n">
        <f aca="false">0.55*AQ318</f>
        <v>122.1</v>
      </c>
      <c r="AS318" s="34" t="n">
        <v>0</v>
      </c>
      <c r="AT318" s="33" t="n">
        <v>7.41</v>
      </c>
      <c r="AU318" s="23" t="n">
        <v>19.8</v>
      </c>
      <c r="AV318" s="33" t="n">
        <v>309</v>
      </c>
      <c r="AW318" s="34" t="n">
        <f aca="false">AV318*0.55</f>
        <v>169.95</v>
      </c>
      <c r="AX318" s="34" t="n">
        <v>0.8</v>
      </c>
      <c r="AY318" s="34" t="n">
        <v>0</v>
      </c>
    </row>
    <row r="319" customFormat="false" ht="15" hidden="false" customHeight="false" outlineLevel="0" collapsed="false">
      <c r="A319" s="16" t="s">
        <v>100</v>
      </c>
      <c r="B319" s="2" t="s">
        <v>57</v>
      </c>
      <c r="C319" s="32" t="n">
        <v>8.14</v>
      </c>
      <c r="D319" s="23" t="n">
        <v>19.5</v>
      </c>
      <c r="E319" s="33" t="n">
        <v>54.5</v>
      </c>
      <c r="F319" s="34" t="n">
        <f aca="false">0.6*E319</f>
        <v>32.7</v>
      </c>
      <c r="G319" s="33" t="n">
        <v>0.23</v>
      </c>
      <c r="H319" s="33" t="n">
        <v>8.06</v>
      </c>
      <c r="I319" s="23" t="n">
        <v>18.6</v>
      </c>
      <c r="J319" s="49"/>
      <c r="K319" s="49"/>
      <c r="L319" s="33" t="n">
        <v>1.83</v>
      </c>
      <c r="M319" s="33" t="n">
        <v>8.06</v>
      </c>
      <c r="N319" s="23" t="n">
        <v>18.6</v>
      </c>
      <c r="O319" s="49"/>
      <c r="P319" s="49"/>
      <c r="Q319" s="33" t="n">
        <v>1.05</v>
      </c>
      <c r="R319" s="34" t="n">
        <v>8.04</v>
      </c>
      <c r="S319" s="19" t="n">
        <v>18.6</v>
      </c>
      <c r="T319" s="49"/>
      <c r="U319" s="49"/>
      <c r="V319" s="34" t="n">
        <v>0.2</v>
      </c>
      <c r="W319" s="33" t="n">
        <v>8.04</v>
      </c>
      <c r="X319" s="23" t="n">
        <v>18.6</v>
      </c>
      <c r="Y319" s="49"/>
      <c r="Z319" s="49"/>
      <c r="AA319" s="34" t="n">
        <v>0.27</v>
      </c>
      <c r="AB319" s="33" t="n">
        <v>8.03</v>
      </c>
      <c r="AC319" s="23" t="n">
        <v>19.2</v>
      </c>
      <c r="AD319" s="33" t="n">
        <v>54.5</v>
      </c>
      <c r="AE319" s="34" t="n">
        <f aca="false">AD319*0.6</f>
        <v>32.7</v>
      </c>
      <c r="AF319" s="33"/>
      <c r="AG319" s="34" t="n">
        <v>0</v>
      </c>
      <c r="AH319" s="45"/>
      <c r="AI319" s="33" t="n">
        <v>8.03</v>
      </c>
      <c r="AJ319" s="23" t="n">
        <v>19.2</v>
      </c>
      <c r="AK319" s="33" t="n">
        <v>54.5</v>
      </c>
      <c r="AL319" s="34" t="n">
        <f aca="false">AK319*0.6</f>
        <v>32.7</v>
      </c>
      <c r="AM319" s="33"/>
      <c r="AN319" s="34" t="n">
        <v>0</v>
      </c>
      <c r="AO319" s="2" t="n">
        <v>6.16</v>
      </c>
      <c r="AP319" s="23" t="n">
        <v>19.5</v>
      </c>
      <c r="AQ319" s="33" t="n">
        <v>208</v>
      </c>
      <c r="AR319" s="34" t="n">
        <f aca="false">AQ319*0.55</f>
        <v>114.4</v>
      </c>
      <c r="AS319" s="34" t="n">
        <v>0</v>
      </c>
      <c r="AT319" s="33" t="n">
        <v>7.37</v>
      </c>
      <c r="AU319" s="23" t="n">
        <v>20.7</v>
      </c>
      <c r="AV319" s="33" t="n">
        <v>307</v>
      </c>
      <c r="AW319" s="34" t="n">
        <f aca="false">0.55*AV319</f>
        <v>168.85</v>
      </c>
      <c r="AX319" s="34" t="n">
        <v>0.9</v>
      </c>
      <c r="AY319" s="34" t="n">
        <v>0</v>
      </c>
    </row>
    <row r="320" customFormat="false" ht="15" hidden="false" customHeight="false" outlineLevel="0" collapsed="false">
      <c r="A320" s="16" t="s">
        <v>101</v>
      </c>
      <c r="B320" s="2" t="s">
        <v>51</v>
      </c>
      <c r="C320" s="32" t="n">
        <v>8.13</v>
      </c>
      <c r="D320" s="23" t="n">
        <v>18.6</v>
      </c>
      <c r="E320" s="33" t="n">
        <v>54.5</v>
      </c>
      <c r="F320" s="34" t="n">
        <f aca="false">0.6*E320</f>
        <v>32.7</v>
      </c>
      <c r="G320" s="33" t="n">
        <v>0.81</v>
      </c>
      <c r="H320" s="33" t="n">
        <v>8.12</v>
      </c>
      <c r="I320" s="23" t="n">
        <v>18.4</v>
      </c>
      <c r="J320" s="49"/>
      <c r="K320" s="37"/>
      <c r="L320" s="33" t="n">
        <v>1.4</v>
      </c>
      <c r="M320" s="33" t="n">
        <v>18.12</v>
      </c>
      <c r="N320" s="23" t="n">
        <v>18.4</v>
      </c>
      <c r="O320" s="49"/>
      <c r="P320" s="37"/>
      <c r="Q320" s="33" t="n">
        <v>0.9</v>
      </c>
      <c r="R320" s="33" t="n">
        <v>8.1</v>
      </c>
      <c r="S320" s="23" t="n">
        <v>17.9</v>
      </c>
      <c r="T320" s="49"/>
      <c r="U320" s="37"/>
      <c r="V320" s="34" t="n">
        <v>0</v>
      </c>
      <c r="W320" s="33" t="n">
        <v>8.1</v>
      </c>
      <c r="X320" s="23" t="n">
        <v>17.9</v>
      </c>
      <c r="Y320" s="49"/>
      <c r="Z320" s="37" t="n">
        <v>0</v>
      </c>
      <c r="AA320" s="34" t="n">
        <v>0</v>
      </c>
      <c r="AB320" s="33" t="n">
        <v>8.05</v>
      </c>
      <c r="AC320" s="23" t="n">
        <v>18.2</v>
      </c>
      <c r="AD320" s="33" t="n">
        <v>54.4</v>
      </c>
      <c r="AE320" s="34" t="n">
        <f aca="false">0.6*AD320</f>
        <v>32.64</v>
      </c>
      <c r="AF320" s="33"/>
      <c r="AG320" s="34" t="n">
        <v>0</v>
      </c>
      <c r="AH320" s="33"/>
      <c r="AI320" s="33" t="n">
        <v>8.05</v>
      </c>
      <c r="AJ320" s="23" t="n">
        <v>18.1</v>
      </c>
      <c r="AK320" s="33" t="n">
        <v>54.4</v>
      </c>
      <c r="AL320" s="34" t="n">
        <f aca="false">0.6*AK320</f>
        <v>32.64</v>
      </c>
      <c r="AM320" s="33"/>
      <c r="AN320" s="34" t="n">
        <v>0</v>
      </c>
      <c r="AO320" s="2" t="n">
        <v>6.25</v>
      </c>
      <c r="AP320" s="23" t="n">
        <v>18</v>
      </c>
      <c r="AQ320" s="33" t="n">
        <v>202</v>
      </c>
      <c r="AR320" s="34" t="n">
        <f aca="false">0.55*AQ320</f>
        <v>111.1</v>
      </c>
      <c r="AS320" s="34" t="n">
        <v>0</v>
      </c>
      <c r="AT320" s="33" t="n">
        <v>742</v>
      </c>
      <c r="AU320" s="23" t="n">
        <v>18.3</v>
      </c>
      <c r="AV320" s="33" t="n">
        <v>313</v>
      </c>
      <c r="AW320" s="34" t="n">
        <f aca="false">AV320*0.6</f>
        <v>187.8</v>
      </c>
      <c r="AX320" s="34" t="n">
        <v>1</v>
      </c>
      <c r="AY320" s="34" t="n">
        <v>0</v>
      </c>
    </row>
    <row r="321" customFormat="false" ht="15" hidden="false" customHeight="false" outlineLevel="0" collapsed="false">
      <c r="A321" s="16" t="s">
        <v>101</v>
      </c>
      <c r="B321" s="2" t="s">
        <v>52</v>
      </c>
      <c r="C321" s="32" t="n">
        <v>8.1</v>
      </c>
      <c r="D321" s="23" t="n">
        <v>18.9</v>
      </c>
      <c r="E321" s="33" t="n">
        <v>54.5</v>
      </c>
      <c r="F321" s="34" t="n">
        <f aca="false">E321*0.6</f>
        <v>32.7</v>
      </c>
      <c r="G321" s="33" t="n">
        <v>0.21</v>
      </c>
      <c r="H321" s="33" t="n">
        <v>8.08</v>
      </c>
      <c r="I321" s="23" t="n">
        <v>17.9</v>
      </c>
      <c r="J321" s="49"/>
      <c r="K321" s="49"/>
      <c r="L321" s="33" t="n">
        <v>0.94</v>
      </c>
      <c r="M321" s="33" t="n">
        <v>8.08</v>
      </c>
      <c r="N321" s="23" t="n">
        <v>17.9</v>
      </c>
      <c r="O321" s="49"/>
      <c r="P321" s="49"/>
      <c r="Q321" s="33" t="n">
        <v>1.21</v>
      </c>
      <c r="R321" s="34" t="n">
        <v>8.06</v>
      </c>
      <c r="S321" s="19" t="n">
        <v>17.7</v>
      </c>
      <c r="T321" s="49"/>
      <c r="U321" s="49"/>
      <c r="V321" s="34" t="n">
        <v>0</v>
      </c>
      <c r="W321" s="33" t="n">
        <v>8.06</v>
      </c>
      <c r="X321" s="23" t="n">
        <v>17.8</v>
      </c>
      <c r="Y321" s="49"/>
      <c r="Z321" s="49"/>
      <c r="AA321" s="34" t="n">
        <v>0</v>
      </c>
      <c r="AB321" s="33" t="n">
        <v>8.03</v>
      </c>
      <c r="AC321" s="23" t="n">
        <v>18.1</v>
      </c>
      <c r="AD321" s="33" t="n">
        <v>54.4</v>
      </c>
      <c r="AE321" s="34" t="n">
        <f aca="false">AD321*0.6</f>
        <v>32.64</v>
      </c>
      <c r="AF321" s="33"/>
      <c r="AG321" s="34" t="n">
        <v>0</v>
      </c>
      <c r="AH321" s="33" t="s">
        <v>75</v>
      </c>
      <c r="AI321" s="33" t="n">
        <v>8.05</v>
      </c>
      <c r="AJ321" s="23" t="n">
        <v>18.1</v>
      </c>
      <c r="AK321" s="33" t="n">
        <v>54.4</v>
      </c>
      <c r="AL321" s="34" t="n">
        <f aca="false">AK321*0.6</f>
        <v>32.64</v>
      </c>
      <c r="AM321" s="33"/>
      <c r="AN321" s="34" t="n">
        <v>0</v>
      </c>
      <c r="AO321" s="2" t="n">
        <v>6.34</v>
      </c>
      <c r="AP321" s="23" t="n">
        <v>18.6</v>
      </c>
      <c r="AQ321" s="33" t="n">
        <v>222</v>
      </c>
      <c r="AR321" s="34" t="n">
        <f aca="false">0.55*AQ321</f>
        <v>122.1</v>
      </c>
      <c r="AS321" s="34" t="n">
        <v>0</v>
      </c>
      <c r="AT321" s="33" t="n">
        <v>7.27</v>
      </c>
      <c r="AU321" s="23" t="n">
        <v>19.1</v>
      </c>
      <c r="AV321" s="33" t="n">
        <v>309</v>
      </c>
      <c r="AW321" s="34" t="n">
        <f aca="false">AV321*0.55</f>
        <v>169.95</v>
      </c>
      <c r="AX321" s="34"/>
      <c r="AY321" s="34" t="n">
        <v>0</v>
      </c>
    </row>
    <row r="322" customFormat="false" ht="15" hidden="false" customHeight="false" outlineLevel="0" collapsed="false">
      <c r="A322" s="16" t="s">
        <v>101</v>
      </c>
      <c r="B322" s="2" t="s">
        <v>57</v>
      </c>
      <c r="C322" s="32" t="n">
        <v>8.08</v>
      </c>
      <c r="D322" s="23" t="n">
        <v>21.1</v>
      </c>
      <c r="E322" s="33" t="n">
        <v>54.5</v>
      </c>
      <c r="F322" s="34" t="n">
        <f aca="false">0.6*E322</f>
        <v>32.7</v>
      </c>
      <c r="G322" s="33" t="n">
        <v>0.5</v>
      </c>
      <c r="H322" s="33" t="n">
        <v>8.05</v>
      </c>
      <c r="I322" s="23" t="n">
        <v>18.9</v>
      </c>
      <c r="J322" s="49"/>
      <c r="K322" s="49"/>
      <c r="L322" s="33" t="n">
        <v>1.23</v>
      </c>
      <c r="M322" s="33" t="n">
        <v>8.05</v>
      </c>
      <c r="N322" s="23" t="n">
        <v>18.7</v>
      </c>
      <c r="O322" s="49"/>
      <c r="P322" s="49"/>
      <c r="Q322" s="33" t="n">
        <v>1.26</v>
      </c>
      <c r="R322" s="34" t="n">
        <v>8.03</v>
      </c>
      <c r="S322" s="19" t="n">
        <v>18.6</v>
      </c>
      <c r="T322" s="49"/>
      <c r="U322" s="49"/>
      <c r="V322" s="34" t="n">
        <v>0</v>
      </c>
      <c r="W322" s="33" t="n">
        <v>8.03</v>
      </c>
      <c r="X322" s="23" t="n">
        <v>18.5</v>
      </c>
      <c r="Y322" s="49"/>
      <c r="Z322" s="49"/>
      <c r="AA322" s="34" t="n">
        <v>0</v>
      </c>
      <c r="AB322" s="33" t="n">
        <v>7.97</v>
      </c>
      <c r="AC322" s="23" t="n">
        <v>18.6</v>
      </c>
      <c r="AD322" s="33" t="n">
        <v>54.5</v>
      </c>
      <c r="AE322" s="34" t="n">
        <f aca="false">AD322*0.6</f>
        <v>32.7</v>
      </c>
      <c r="AF322" s="33"/>
      <c r="AG322" s="34" t="n">
        <v>0</v>
      </c>
      <c r="AH322" s="45"/>
      <c r="AI322" s="33" t="n">
        <v>7.99</v>
      </c>
      <c r="AJ322" s="23" t="n">
        <v>18.8</v>
      </c>
      <c r="AK322" s="33" t="n">
        <v>54.5</v>
      </c>
      <c r="AL322" s="34" t="n">
        <f aca="false">AK322*0.6</f>
        <v>32.7</v>
      </c>
      <c r="AM322" s="33"/>
      <c r="AN322" s="34" t="n">
        <v>0</v>
      </c>
      <c r="AO322" s="2" t="n">
        <v>6.15</v>
      </c>
      <c r="AP322" s="23" t="n">
        <v>19</v>
      </c>
      <c r="AQ322" s="33" t="n">
        <v>223</v>
      </c>
      <c r="AR322" s="34" t="n">
        <f aca="false">AQ322*0.55</f>
        <v>122.65</v>
      </c>
      <c r="AS322" s="34" t="n">
        <v>0</v>
      </c>
      <c r="AT322" s="33" t="n">
        <v>7.28</v>
      </c>
      <c r="AU322" s="23" t="n">
        <v>18.8</v>
      </c>
      <c r="AV322" s="33" t="n">
        <v>299</v>
      </c>
      <c r="AW322" s="34" t="n">
        <f aca="false">0.55*AV322</f>
        <v>164.45</v>
      </c>
      <c r="AX322" s="34" t="n">
        <v>0.9</v>
      </c>
      <c r="AY322" s="34" t="n">
        <v>0</v>
      </c>
    </row>
    <row r="323" customFormat="false" ht="15" hidden="false" customHeight="false" outlineLevel="0" collapsed="false">
      <c r="A323" s="16" t="s">
        <v>102</v>
      </c>
      <c r="B323" s="2" t="s">
        <v>51</v>
      </c>
      <c r="C323" s="32" t="n">
        <v>8.06</v>
      </c>
      <c r="D323" s="23" t="n">
        <v>20.3</v>
      </c>
      <c r="E323" s="33" t="n">
        <v>54.7</v>
      </c>
      <c r="F323" s="34" t="n">
        <f aca="false">0.6*E323</f>
        <v>32.82</v>
      </c>
      <c r="G323" s="33" t="n">
        <v>1.59</v>
      </c>
      <c r="H323" s="33" t="n">
        <v>8.05</v>
      </c>
      <c r="I323" s="23" t="n">
        <v>20.2</v>
      </c>
      <c r="J323" s="49"/>
      <c r="K323" s="37"/>
      <c r="L323" s="33" t="n">
        <v>3.85</v>
      </c>
      <c r="M323" s="33" t="n">
        <v>8.05</v>
      </c>
      <c r="N323" s="23" t="n">
        <v>20.2</v>
      </c>
      <c r="O323" s="49"/>
      <c r="P323" s="37"/>
      <c r="Q323" s="33" t="n">
        <v>1.35</v>
      </c>
      <c r="R323" s="33" t="n">
        <v>8.03</v>
      </c>
      <c r="S323" s="23" t="n">
        <v>19.8</v>
      </c>
      <c r="T323" s="49"/>
      <c r="U323" s="37"/>
      <c r="V323" s="34" t="n">
        <v>0</v>
      </c>
      <c r="W323" s="33" t="n">
        <v>8.03</v>
      </c>
      <c r="X323" s="23" t="n">
        <v>19.8</v>
      </c>
      <c r="Y323" s="49"/>
      <c r="Z323" s="37"/>
      <c r="AA323" s="34" t="n">
        <v>0</v>
      </c>
      <c r="AB323" s="33" t="n">
        <v>8</v>
      </c>
      <c r="AC323" s="23" t="n">
        <v>18.3</v>
      </c>
      <c r="AD323" s="33" t="n">
        <v>54.7</v>
      </c>
      <c r="AE323" s="34" t="n">
        <f aca="false">0.6*AD323</f>
        <v>32.82</v>
      </c>
      <c r="AF323" s="33"/>
      <c r="AG323" s="34" t="n">
        <v>0</v>
      </c>
      <c r="AH323" s="33"/>
      <c r="AI323" s="33" t="n">
        <v>8</v>
      </c>
      <c r="AJ323" s="23" t="n">
        <v>18.3</v>
      </c>
      <c r="AK323" s="33" t="n">
        <v>54.7</v>
      </c>
      <c r="AL323" s="34" t="n">
        <f aca="false">0.6*AK323</f>
        <v>32.82</v>
      </c>
      <c r="AM323" s="33"/>
      <c r="AN323" s="34" t="n">
        <v>0</v>
      </c>
      <c r="AO323" s="2" t="n">
        <v>6.24</v>
      </c>
      <c r="AP323" s="23" t="n">
        <v>18.5</v>
      </c>
      <c r="AQ323" s="33" t="n">
        <v>209</v>
      </c>
      <c r="AR323" s="34" t="n">
        <f aca="false">0.55*AQ323</f>
        <v>114.95</v>
      </c>
      <c r="AS323" s="34" t="n">
        <v>0</v>
      </c>
      <c r="AT323" s="33" t="n">
        <v>7.25</v>
      </c>
      <c r="AU323" s="23" t="n">
        <v>19.2</v>
      </c>
      <c r="AV323" s="33" t="n">
        <v>312.2</v>
      </c>
      <c r="AW323" s="34" t="n">
        <f aca="false">AV323*0.6</f>
        <v>187.32</v>
      </c>
      <c r="AX323" s="34" t="n">
        <v>1.2</v>
      </c>
      <c r="AY323" s="34" t="n">
        <v>0</v>
      </c>
    </row>
    <row r="324" customFormat="false" ht="15" hidden="false" customHeight="false" outlineLevel="0" collapsed="false">
      <c r="A324" s="16" t="s">
        <v>102</v>
      </c>
      <c r="B324" s="2" t="s">
        <v>52</v>
      </c>
      <c r="C324" s="32" t="n">
        <v>8.1</v>
      </c>
      <c r="D324" s="23" t="n">
        <v>20.6</v>
      </c>
      <c r="E324" s="33" t="n">
        <v>54.7</v>
      </c>
      <c r="F324" s="34" t="n">
        <f aca="false">E324*0.6</f>
        <v>32.82</v>
      </c>
      <c r="G324" s="33" t="n">
        <v>1.33</v>
      </c>
      <c r="H324" s="33" t="n">
        <v>8.09</v>
      </c>
      <c r="I324" s="23" t="n">
        <v>20.7</v>
      </c>
      <c r="J324" s="49"/>
      <c r="K324" s="49"/>
      <c r="L324" s="33" t="n">
        <v>3.9</v>
      </c>
      <c r="M324" s="33" t="n">
        <v>8.09</v>
      </c>
      <c r="N324" s="23" t="n">
        <v>20.7</v>
      </c>
      <c r="O324" s="49"/>
      <c r="P324" s="49"/>
      <c r="Q324" s="33" t="n">
        <v>5.94</v>
      </c>
      <c r="R324" s="34" t="n">
        <v>8.05</v>
      </c>
      <c r="S324" s="19" t="n">
        <v>19.7</v>
      </c>
      <c r="T324" s="49"/>
      <c r="U324" s="49"/>
      <c r="V324" s="34" t="n">
        <v>0.2</v>
      </c>
      <c r="W324" s="33" t="n">
        <v>8.05</v>
      </c>
      <c r="X324" s="23" t="n">
        <v>19.7</v>
      </c>
      <c r="Y324" s="49"/>
      <c r="Z324" s="49"/>
      <c r="AA324" s="34" t="n">
        <v>0.29</v>
      </c>
      <c r="AB324" s="33" t="n">
        <v>8.03</v>
      </c>
      <c r="AC324" s="23" t="n">
        <v>18.1</v>
      </c>
      <c r="AD324" s="33" t="n">
        <v>54.7</v>
      </c>
      <c r="AE324" s="34" t="n">
        <f aca="false">AD324*0.6</f>
        <v>32.82</v>
      </c>
      <c r="AF324" s="33"/>
      <c r="AG324" s="34" t="n">
        <v>0.01</v>
      </c>
      <c r="AH324" s="33" t="s">
        <v>75</v>
      </c>
      <c r="AI324" s="33" t="n">
        <v>8.03</v>
      </c>
      <c r="AJ324" s="23" t="n">
        <v>19.3</v>
      </c>
      <c r="AK324" s="33" t="n">
        <v>54.7</v>
      </c>
      <c r="AL324" s="34" t="n">
        <f aca="false">AK324*0.6</f>
        <v>32.82</v>
      </c>
      <c r="AM324" s="33"/>
      <c r="AN324" s="34" t="n">
        <v>0.02</v>
      </c>
      <c r="AO324" s="2" t="n">
        <v>6.36</v>
      </c>
      <c r="AP324" s="23" t="n">
        <v>18.6</v>
      </c>
      <c r="AQ324" s="33" t="n">
        <v>209</v>
      </c>
      <c r="AR324" s="34" t="n">
        <f aca="false">0.55*AQ324</f>
        <v>114.95</v>
      </c>
      <c r="AS324" s="34" t="n">
        <v>0</v>
      </c>
      <c r="AT324" s="33" t="n">
        <v>7.24</v>
      </c>
      <c r="AU324" s="23" t="n">
        <v>20.1</v>
      </c>
      <c r="AV324" s="33" t="n">
        <v>298</v>
      </c>
      <c r="AW324" s="34" t="n">
        <f aca="false">AV324*0.55</f>
        <v>163.9</v>
      </c>
      <c r="AX324" s="34"/>
      <c r="AY324" s="34" t="n">
        <v>0</v>
      </c>
    </row>
    <row r="325" customFormat="false" ht="15" hidden="false" customHeight="false" outlineLevel="0" collapsed="false">
      <c r="A325" s="16" t="s">
        <v>102</v>
      </c>
      <c r="B325" s="2" t="s">
        <v>57</v>
      </c>
      <c r="C325" s="32" t="n">
        <v>8.12</v>
      </c>
      <c r="D325" s="23" t="n">
        <v>19.8</v>
      </c>
      <c r="E325" s="33" t="n">
        <v>54.7</v>
      </c>
      <c r="F325" s="34" t="n">
        <f aca="false">0.6*E325</f>
        <v>32.82</v>
      </c>
      <c r="G325" s="33" t="n">
        <v>1.53</v>
      </c>
      <c r="H325" s="33" t="n">
        <v>8.1</v>
      </c>
      <c r="I325" s="23" t="n">
        <v>19.6</v>
      </c>
      <c r="J325" s="49"/>
      <c r="K325" s="49"/>
      <c r="L325" s="33" t="n">
        <v>2.6</v>
      </c>
      <c r="M325" s="33" t="n">
        <v>8.1</v>
      </c>
      <c r="N325" s="23" t="n">
        <v>16.9</v>
      </c>
      <c r="O325" s="49"/>
      <c r="P325" s="49"/>
      <c r="Q325" s="33" t="n">
        <v>2.65</v>
      </c>
      <c r="R325" s="34" t="n">
        <v>8.08</v>
      </c>
      <c r="S325" s="19" t="n">
        <v>18.7</v>
      </c>
      <c r="T325" s="49"/>
      <c r="U325" s="49"/>
      <c r="V325" s="34" t="n">
        <v>0.05</v>
      </c>
      <c r="W325" s="33" t="n">
        <v>8.08</v>
      </c>
      <c r="X325" s="23" t="n">
        <v>18.7</v>
      </c>
      <c r="Y325" s="49"/>
      <c r="Z325" s="49"/>
      <c r="AA325" s="34" t="n">
        <v>0.02</v>
      </c>
      <c r="AB325" s="33" t="n">
        <v>8.07</v>
      </c>
      <c r="AC325" s="23" t="n">
        <v>18.6</v>
      </c>
      <c r="AD325" s="33" t="n">
        <v>54.7</v>
      </c>
      <c r="AE325" s="34" t="n">
        <f aca="false">AD325*0.6</f>
        <v>32.82</v>
      </c>
      <c r="AF325" s="33"/>
      <c r="AG325" s="34" t="n">
        <v>0</v>
      </c>
      <c r="AH325" s="45"/>
      <c r="AI325" s="33" t="n">
        <v>8.07</v>
      </c>
      <c r="AJ325" s="23" t="n">
        <v>18.2</v>
      </c>
      <c r="AK325" s="33" t="n">
        <v>54.7</v>
      </c>
      <c r="AL325" s="34" t="n">
        <f aca="false">AK325*0.6</f>
        <v>32.82</v>
      </c>
      <c r="AM325" s="33"/>
      <c r="AN325" s="34" t="n">
        <v>0</v>
      </c>
      <c r="AO325" s="2" t="n">
        <v>6.1</v>
      </c>
      <c r="AP325" s="23" t="n">
        <v>18.6</v>
      </c>
      <c r="AQ325" s="33" t="n">
        <v>194.8</v>
      </c>
      <c r="AR325" s="34" t="n">
        <f aca="false">AQ325*0.55</f>
        <v>107.14</v>
      </c>
      <c r="AS325" s="34" t="n">
        <v>0</v>
      </c>
      <c r="AT325" s="33" t="n">
        <v>7.16</v>
      </c>
      <c r="AU325" s="23" t="n">
        <v>19.2</v>
      </c>
      <c r="AV325" s="33" t="n">
        <v>315</v>
      </c>
      <c r="AW325" s="34" t="n">
        <f aca="false">0.55*AV325</f>
        <v>173.25</v>
      </c>
      <c r="AX325" s="34" t="n">
        <v>1.2</v>
      </c>
      <c r="AY325" s="34" t="n">
        <v>0</v>
      </c>
    </row>
    <row r="326" customFormat="false" ht="15" hidden="false" customHeight="false" outlineLevel="0" collapsed="false">
      <c r="A326" s="16" t="s">
        <v>103</v>
      </c>
      <c r="B326" s="2" t="s">
        <v>51</v>
      </c>
      <c r="C326" s="29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</row>
    <row r="327" customFormat="false" ht="15" hidden="false" customHeight="false" outlineLevel="0" collapsed="false">
      <c r="A327" s="16" t="s">
        <v>103</v>
      </c>
      <c r="B327" s="2" t="s">
        <v>52</v>
      </c>
      <c r="C327" s="29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</row>
    <row r="328" customFormat="false" ht="15" hidden="false" customHeight="false" outlineLevel="0" collapsed="false">
      <c r="A328" s="16" t="s">
        <v>103</v>
      </c>
      <c r="B328" s="2" t="s">
        <v>57</v>
      </c>
      <c r="C328" s="29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</row>
    <row r="329" customFormat="false" ht="15" hidden="false" customHeight="false" outlineLevel="0" collapsed="false">
      <c r="A329" s="16" t="s">
        <v>104</v>
      </c>
      <c r="B329" s="2" t="s">
        <v>51</v>
      </c>
      <c r="C329" s="32" t="n">
        <v>8.19</v>
      </c>
      <c r="D329" s="23" t="n">
        <v>19.2</v>
      </c>
      <c r="E329" s="33" t="n">
        <v>54.6</v>
      </c>
      <c r="F329" s="34" t="n">
        <f aca="false">0.6*E329</f>
        <v>32.76</v>
      </c>
      <c r="G329" s="33" t="n">
        <v>0.92</v>
      </c>
      <c r="H329" s="33" t="n">
        <v>8.12</v>
      </c>
      <c r="I329" s="23" t="n">
        <v>19</v>
      </c>
      <c r="J329" s="49"/>
      <c r="K329" s="37"/>
      <c r="L329" s="33" t="n">
        <v>3.92</v>
      </c>
      <c r="M329" s="33" t="n">
        <v>8.18</v>
      </c>
      <c r="N329" s="23" t="n">
        <v>19</v>
      </c>
      <c r="O329" s="49"/>
      <c r="P329" s="37"/>
      <c r="Q329" s="33" t="n">
        <v>2.02</v>
      </c>
      <c r="R329" s="33" t="n">
        <v>8.1</v>
      </c>
      <c r="S329" s="23" t="n">
        <v>18.6</v>
      </c>
      <c r="T329" s="49"/>
      <c r="U329" s="37"/>
      <c r="V329" s="34" t="n">
        <v>0</v>
      </c>
      <c r="W329" s="33" t="n">
        <v>8.1</v>
      </c>
      <c r="X329" s="23" t="n">
        <v>18.6</v>
      </c>
      <c r="Y329" s="49"/>
      <c r="Z329" s="37"/>
      <c r="AA329" s="34" t="n">
        <v>0</v>
      </c>
      <c r="AB329" s="33" t="n">
        <v>8.05</v>
      </c>
      <c r="AC329" s="23" t="n">
        <v>18.3</v>
      </c>
      <c r="AD329" s="33" t="n">
        <v>54.6</v>
      </c>
      <c r="AE329" s="34" t="n">
        <f aca="false">0.6*AD329</f>
        <v>32.76</v>
      </c>
      <c r="AF329" s="33"/>
      <c r="AG329" s="34" t="n">
        <v>0</v>
      </c>
      <c r="AH329" s="33"/>
      <c r="AI329" s="33" t="n">
        <v>8.05</v>
      </c>
      <c r="AJ329" s="23" t="n">
        <v>18.3</v>
      </c>
      <c r="AK329" s="33" t="n">
        <v>54.6</v>
      </c>
      <c r="AL329" s="34" t="n">
        <f aca="false">0.6*AK329</f>
        <v>32.76</v>
      </c>
      <c r="AM329" s="33"/>
      <c r="AN329" s="34" t="n">
        <v>0</v>
      </c>
      <c r="AO329" s="2" t="n">
        <v>6.15</v>
      </c>
      <c r="AP329" s="23" t="n">
        <v>18.4</v>
      </c>
      <c r="AQ329" s="33" t="n">
        <v>203</v>
      </c>
      <c r="AR329" s="34" t="n">
        <f aca="false">0.55*AQ329</f>
        <v>111.65</v>
      </c>
      <c r="AS329" s="34" t="n">
        <v>0</v>
      </c>
      <c r="AT329" s="33" t="n">
        <v>7.24</v>
      </c>
      <c r="AU329" s="23" t="n">
        <v>18.8</v>
      </c>
      <c r="AV329" s="33" t="n">
        <v>300</v>
      </c>
      <c r="AW329" s="34" t="n">
        <f aca="false">AV329*0.6</f>
        <v>180</v>
      </c>
      <c r="AX329" s="34"/>
      <c r="AY329" s="34" t="n">
        <v>0</v>
      </c>
    </row>
    <row r="330" customFormat="false" ht="15" hidden="false" customHeight="false" outlineLevel="0" collapsed="false">
      <c r="A330" s="16" t="s">
        <v>104</v>
      </c>
      <c r="B330" s="2" t="s">
        <v>52</v>
      </c>
      <c r="C330" s="32" t="n">
        <v>8.15</v>
      </c>
      <c r="D330" s="23" t="n">
        <v>19.8</v>
      </c>
      <c r="E330" s="33"/>
      <c r="F330" s="34" t="n">
        <f aca="false">E330*0.6</f>
        <v>0</v>
      </c>
      <c r="G330" s="33" t="n">
        <v>0.87</v>
      </c>
      <c r="H330" s="33" t="n">
        <v>8.1</v>
      </c>
      <c r="I330" s="23" t="n">
        <v>17.1</v>
      </c>
      <c r="J330" s="49"/>
      <c r="K330" s="49"/>
      <c r="L330" s="33" t="n">
        <v>1.95</v>
      </c>
      <c r="M330" s="33" t="n">
        <v>8.1</v>
      </c>
      <c r="N330" s="23" t="n">
        <v>17.1</v>
      </c>
      <c r="O330" s="49"/>
      <c r="P330" s="49"/>
      <c r="Q330" s="33" t="n">
        <v>1.88</v>
      </c>
      <c r="R330" s="34" t="n">
        <v>8.05</v>
      </c>
      <c r="S330" s="23" t="n">
        <v>17.1</v>
      </c>
      <c r="T330" s="49"/>
      <c r="U330" s="49"/>
      <c r="V330" s="34" t="n">
        <v>0.01</v>
      </c>
      <c r="W330" s="33" t="n">
        <v>8.02</v>
      </c>
      <c r="X330" s="23" t="n">
        <v>17.1</v>
      </c>
      <c r="Y330" s="49"/>
      <c r="Z330" s="49"/>
      <c r="AA330" s="34" t="n">
        <v>0</v>
      </c>
      <c r="AB330" s="33" t="n">
        <v>8</v>
      </c>
      <c r="AC330" s="23" t="n">
        <v>17.2</v>
      </c>
      <c r="AD330" s="33" t="n">
        <v>54.7</v>
      </c>
      <c r="AE330" s="34" t="n">
        <f aca="false">AD330*0.6</f>
        <v>32.82</v>
      </c>
      <c r="AF330" s="33"/>
      <c r="AG330" s="34" t="n">
        <v>0</v>
      </c>
      <c r="AH330" s="33" t="s">
        <v>75</v>
      </c>
      <c r="AI330" s="33" t="n">
        <v>8.02</v>
      </c>
      <c r="AJ330" s="23" t="n">
        <v>17.2</v>
      </c>
      <c r="AK330" s="33" t="n">
        <v>54.7</v>
      </c>
      <c r="AL330" s="34" t="n">
        <f aca="false">AK330*0.6</f>
        <v>32.82</v>
      </c>
      <c r="AM330" s="33"/>
      <c r="AN330" s="34" t="n">
        <v>0</v>
      </c>
      <c r="AO330" s="2" t="n">
        <v>6.32</v>
      </c>
      <c r="AP330" s="23" t="n">
        <v>17.8</v>
      </c>
      <c r="AQ330" s="33" t="n">
        <v>195.2</v>
      </c>
      <c r="AR330" s="34" t="n">
        <f aca="false">0.55*AQ330</f>
        <v>107.36</v>
      </c>
      <c r="AS330" s="34" t="n">
        <v>0</v>
      </c>
      <c r="AT330" s="33" t="n">
        <v>7.19</v>
      </c>
      <c r="AU330" s="23" t="n">
        <v>18.2</v>
      </c>
      <c r="AV330" s="33" t="n">
        <v>300</v>
      </c>
      <c r="AW330" s="34" t="n">
        <f aca="false">AV330*0.55</f>
        <v>165</v>
      </c>
      <c r="AX330" s="34" t="n">
        <v>1</v>
      </c>
      <c r="AY330" s="34" t="n">
        <v>0</v>
      </c>
    </row>
    <row r="331" customFormat="false" ht="15" hidden="false" customHeight="false" outlineLevel="0" collapsed="false">
      <c r="A331" s="16" t="s">
        <v>104</v>
      </c>
      <c r="B331" s="2" t="s">
        <v>57</v>
      </c>
      <c r="C331" s="32" t="n">
        <v>8.04</v>
      </c>
      <c r="D331" s="23" t="n">
        <v>19.3</v>
      </c>
      <c r="E331" s="33" t="n">
        <v>54.7</v>
      </c>
      <c r="F331" s="34" t="n">
        <f aca="false">0.6*E331</f>
        <v>32.82</v>
      </c>
      <c r="G331" s="33" t="n">
        <v>1.15</v>
      </c>
      <c r="H331" s="33" t="n">
        <v>8.03</v>
      </c>
      <c r="I331" s="23" t="n">
        <v>17.7</v>
      </c>
      <c r="J331" s="49"/>
      <c r="K331" s="49"/>
      <c r="L331" s="33" t="n">
        <v>1.32</v>
      </c>
      <c r="M331" s="33" t="n">
        <v>8.03</v>
      </c>
      <c r="N331" s="23" t="n">
        <v>17.7</v>
      </c>
      <c r="O331" s="49"/>
      <c r="P331" s="49"/>
      <c r="Q331" s="33" t="n">
        <v>1.45</v>
      </c>
      <c r="R331" s="34" t="n">
        <v>8.02</v>
      </c>
      <c r="S331" s="19" t="n">
        <v>17.9</v>
      </c>
      <c r="T331" s="49"/>
      <c r="U331" s="49"/>
      <c r="V331" s="34" t="n">
        <v>0</v>
      </c>
      <c r="W331" s="33" t="n">
        <v>8.02</v>
      </c>
      <c r="X331" s="23" t="n">
        <v>17.9</v>
      </c>
      <c r="Y331" s="49"/>
      <c r="Z331" s="49"/>
      <c r="AA331" s="34" t="n">
        <v>0</v>
      </c>
      <c r="AB331" s="33" t="n">
        <v>8</v>
      </c>
      <c r="AC331" s="23" t="n">
        <v>17.4</v>
      </c>
      <c r="AD331" s="33" t="n">
        <v>54.7</v>
      </c>
      <c r="AE331" s="34" t="n">
        <f aca="false">AD331*0.6</f>
        <v>32.82</v>
      </c>
      <c r="AF331" s="33"/>
      <c r="AG331" s="34" t="n">
        <v>0</v>
      </c>
      <c r="AH331" s="45"/>
      <c r="AI331" s="33" t="n">
        <v>8</v>
      </c>
      <c r="AJ331" s="23" t="n">
        <v>17.5</v>
      </c>
      <c r="AK331" s="33" t="n">
        <v>54.7</v>
      </c>
      <c r="AL331" s="34" t="n">
        <f aca="false">AK331*0.6</f>
        <v>32.82</v>
      </c>
      <c r="AM331" s="33"/>
      <c r="AN331" s="34" t="n">
        <v>0</v>
      </c>
      <c r="AO331" s="2" t="n">
        <v>6.12</v>
      </c>
      <c r="AP331" s="23" t="n">
        <v>17.8</v>
      </c>
      <c r="AQ331" s="33" t="n">
        <v>199.2</v>
      </c>
      <c r="AR331" s="34" t="n">
        <f aca="false">AQ331*0.55</f>
        <v>109.56</v>
      </c>
      <c r="AS331" s="34" t="n">
        <v>0</v>
      </c>
      <c r="AT331" s="33" t="n">
        <v>7.29</v>
      </c>
      <c r="AU331" s="23" t="n">
        <v>18.3</v>
      </c>
      <c r="AV331" s="33" t="n">
        <v>295</v>
      </c>
      <c r="AW331" s="34" t="n">
        <f aca="false">0.55*AV331</f>
        <v>162.25</v>
      </c>
      <c r="AX331" s="34" t="n">
        <v>0.8</v>
      </c>
      <c r="AY331" s="34" t="n">
        <v>0</v>
      </c>
    </row>
    <row r="332" customFormat="false" ht="15" hidden="false" customHeight="false" outlineLevel="0" collapsed="false">
      <c r="A332" s="16" t="s">
        <v>105</v>
      </c>
      <c r="B332" s="2" t="s">
        <v>51</v>
      </c>
      <c r="C332" s="32" t="n">
        <v>8.15</v>
      </c>
      <c r="D332" s="23" t="n">
        <v>19.8</v>
      </c>
      <c r="E332" s="33" t="n">
        <v>54.7</v>
      </c>
      <c r="F332" s="34" t="n">
        <f aca="false">0.6*E332</f>
        <v>32.82</v>
      </c>
      <c r="G332" s="33" t="n">
        <v>0.65</v>
      </c>
      <c r="H332" s="33" t="n">
        <v>8.12</v>
      </c>
      <c r="I332" s="23" t="n">
        <v>19.8</v>
      </c>
      <c r="J332" s="49"/>
      <c r="K332" s="37"/>
      <c r="L332" s="33" t="n">
        <v>2.01</v>
      </c>
      <c r="M332" s="33" t="n">
        <v>8.12</v>
      </c>
      <c r="N332" s="23" t="n">
        <v>19.8</v>
      </c>
      <c r="O332" s="49"/>
      <c r="P332" s="37"/>
      <c r="Q332" s="33" t="n">
        <v>2.47</v>
      </c>
      <c r="R332" s="33" t="n">
        <v>8.1</v>
      </c>
      <c r="S332" s="23" t="n">
        <v>18.3</v>
      </c>
      <c r="T332" s="49"/>
      <c r="U332" s="37"/>
      <c r="V332" s="34" t="n">
        <v>0.07</v>
      </c>
      <c r="W332" s="33" t="n">
        <v>8.1</v>
      </c>
      <c r="X332" s="23" t="n">
        <v>18.3</v>
      </c>
      <c r="Y332" s="49"/>
      <c r="Z332" s="37"/>
      <c r="AA332" s="34" t="n">
        <v>0.06</v>
      </c>
      <c r="AB332" s="33" t="n">
        <v>8.03</v>
      </c>
      <c r="AC332" s="23" t="n">
        <v>18</v>
      </c>
      <c r="AD332" s="33" t="n">
        <v>54.7</v>
      </c>
      <c r="AE332" s="34" t="n">
        <f aca="false">0.6*AD332</f>
        <v>32.82</v>
      </c>
      <c r="AF332" s="33"/>
      <c r="AG332" s="34" t="n">
        <v>0</v>
      </c>
      <c r="AH332" s="33"/>
      <c r="AI332" s="33" t="n">
        <v>8.03</v>
      </c>
      <c r="AJ332" s="23" t="n">
        <v>18.2</v>
      </c>
      <c r="AK332" s="33" t="n">
        <v>54.7</v>
      </c>
      <c r="AL332" s="34" t="n">
        <f aca="false">0.6*AK332</f>
        <v>32.82</v>
      </c>
      <c r="AM332" s="33"/>
      <c r="AN332" s="34" t="n">
        <v>0</v>
      </c>
      <c r="AO332" s="2" t="n">
        <v>6.25</v>
      </c>
      <c r="AP332" s="23" t="n">
        <v>18.5</v>
      </c>
      <c r="AQ332" s="33" t="n">
        <v>223</v>
      </c>
      <c r="AR332" s="34" t="n">
        <f aca="false">0.55*AQ332</f>
        <v>122.65</v>
      </c>
      <c r="AS332" s="34" t="n">
        <v>0</v>
      </c>
      <c r="AT332" s="33" t="n">
        <v>7.22</v>
      </c>
      <c r="AU332" s="23" t="n">
        <v>19.2</v>
      </c>
      <c r="AV332" s="33" t="n">
        <v>301</v>
      </c>
      <c r="AW332" s="34" t="n">
        <f aca="false">AV332*0.6</f>
        <v>180.6</v>
      </c>
      <c r="AX332" s="34" t="n">
        <v>1</v>
      </c>
      <c r="AY332" s="34" t="n">
        <v>0</v>
      </c>
    </row>
    <row r="333" customFormat="false" ht="15" hidden="false" customHeight="false" outlineLevel="0" collapsed="false">
      <c r="A333" s="16" t="s">
        <v>105</v>
      </c>
      <c r="B333" s="2" t="s">
        <v>52</v>
      </c>
      <c r="C333" s="32" t="n">
        <v>8.1</v>
      </c>
      <c r="D333" s="23" t="n">
        <v>18.2</v>
      </c>
      <c r="E333" s="33" t="n">
        <v>54.7</v>
      </c>
      <c r="F333" s="34" t="n">
        <f aca="false">E333*0.6</f>
        <v>32.82</v>
      </c>
      <c r="G333" s="33" t="n">
        <v>0.41</v>
      </c>
      <c r="H333" s="33" t="n">
        <v>8.08</v>
      </c>
      <c r="I333" s="23" t="n">
        <v>17.2</v>
      </c>
      <c r="J333" s="49"/>
      <c r="K333" s="49"/>
      <c r="L333" s="33" t="n">
        <v>1.7</v>
      </c>
      <c r="M333" s="33" t="n">
        <v>8.08</v>
      </c>
      <c r="N333" s="23" t="n">
        <v>17.3</v>
      </c>
      <c r="O333" s="49"/>
      <c r="P333" s="49"/>
      <c r="Q333" s="33" t="n">
        <v>2.05</v>
      </c>
      <c r="R333" s="34" t="n">
        <v>8.06</v>
      </c>
      <c r="S333" s="23" t="n">
        <v>17.4</v>
      </c>
      <c r="T333" s="49"/>
      <c r="U333" s="49"/>
      <c r="V333" s="34" t="n">
        <v>0</v>
      </c>
      <c r="W333" s="33" t="n">
        <v>8.06</v>
      </c>
      <c r="X333" s="23" t="n">
        <v>17.3</v>
      </c>
      <c r="Y333" s="49"/>
      <c r="Z333" s="49"/>
      <c r="AA333" s="34" t="n">
        <v>0</v>
      </c>
      <c r="AB333" s="33" t="n">
        <v>8.03</v>
      </c>
      <c r="AC333" s="23" t="n">
        <v>17.7</v>
      </c>
      <c r="AD333" s="33" t="n">
        <v>54.7</v>
      </c>
      <c r="AE333" s="34" t="n">
        <f aca="false">AD333*0.6</f>
        <v>32.82</v>
      </c>
      <c r="AF333" s="33"/>
      <c r="AG333" s="34" t="n">
        <v>0</v>
      </c>
      <c r="AH333" s="33" t="s">
        <v>75</v>
      </c>
      <c r="AI333" s="33" t="n">
        <v>8.03</v>
      </c>
      <c r="AJ333" s="23" t="n">
        <v>17.7</v>
      </c>
      <c r="AK333" s="33" t="n">
        <v>54.7</v>
      </c>
      <c r="AL333" s="34" t="n">
        <f aca="false">AK333*0.6</f>
        <v>32.82</v>
      </c>
      <c r="AM333" s="33"/>
      <c r="AN333" s="34" t="n">
        <v>0</v>
      </c>
      <c r="AO333" s="2" t="n">
        <v>6.3</v>
      </c>
      <c r="AP333" s="23" t="n">
        <v>18.3</v>
      </c>
      <c r="AQ333" s="33" t="n">
        <v>209</v>
      </c>
      <c r="AR333" s="34" t="n">
        <f aca="false">0.55*AQ333</f>
        <v>114.95</v>
      </c>
      <c r="AS333" s="34" t="n">
        <v>0</v>
      </c>
      <c r="AT333" s="33" t="n">
        <v>7.26</v>
      </c>
      <c r="AU333" s="23" t="n">
        <v>18.5</v>
      </c>
      <c r="AV333" s="33" t="n">
        <v>295</v>
      </c>
      <c r="AW333" s="34" t="n">
        <f aca="false">AV333*0.55</f>
        <v>162.25</v>
      </c>
      <c r="AX333" s="34"/>
      <c r="AY333" s="34" t="n">
        <v>0</v>
      </c>
    </row>
    <row r="334" customFormat="false" ht="15" hidden="false" customHeight="false" outlineLevel="0" collapsed="false">
      <c r="A334" s="16" t="s">
        <v>105</v>
      </c>
      <c r="B334" s="2" t="s">
        <v>57</v>
      </c>
      <c r="C334" s="32" t="n">
        <v>8.16</v>
      </c>
      <c r="D334" s="23" t="n">
        <v>19.3</v>
      </c>
      <c r="E334" s="33" t="n">
        <v>54.8</v>
      </c>
      <c r="F334" s="34" t="n">
        <f aca="false">0.6*E334</f>
        <v>32.88</v>
      </c>
      <c r="G334" s="33" t="n">
        <v>0.38</v>
      </c>
      <c r="H334" s="33" t="n">
        <v>8.12</v>
      </c>
      <c r="I334" s="23" t="n">
        <v>18.3</v>
      </c>
      <c r="J334" s="49"/>
      <c r="K334" s="49"/>
      <c r="L334" s="33" t="n">
        <v>2.2</v>
      </c>
      <c r="M334" s="33" t="n">
        <v>8.03</v>
      </c>
      <c r="N334" s="23" t="n">
        <v>17.6</v>
      </c>
      <c r="O334" s="49"/>
      <c r="P334" s="49"/>
      <c r="Q334" s="33" t="n">
        <v>2.38</v>
      </c>
      <c r="R334" s="34" t="n">
        <v>8.03</v>
      </c>
      <c r="S334" s="19" t="n">
        <v>17.6</v>
      </c>
      <c r="T334" s="49"/>
      <c r="U334" s="49"/>
      <c r="V334" s="34" t="n">
        <v>0</v>
      </c>
      <c r="W334" s="33" t="n">
        <v>8.03</v>
      </c>
      <c r="X334" s="23" t="n">
        <v>17.6</v>
      </c>
      <c r="Y334" s="49"/>
      <c r="Z334" s="49"/>
      <c r="AA334" s="34" t="n">
        <v>0</v>
      </c>
      <c r="AB334" s="33" t="n">
        <v>7.99</v>
      </c>
      <c r="AC334" s="23" t="n">
        <v>17.3</v>
      </c>
      <c r="AD334" s="33" t="n">
        <v>54.8</v>
      </c>
      <c r="AE334" s="34" t="n">
        <f aca="false">AD334*0.6</f>
        <v>32.88</v>
      </c>
      <c r="AF334" s="33"/>
      <c r="AG334" s="34" t="n">
        <v>0</v>
      </c>
      <c r="AH334" s="45"/>
      <c r="AI334" s="33" t="n">
        <v>7.99</v>
      </c>
      <c r="AJ334" s="23" t="n">
        <v>17.3</v>
      </c>
      <c r="AK334" s="33" t="n">
        <v>54.8</v>
      </c>
      <c r="AL334" s="34" t="n">
        <f aca="false">AK334*0.6</f>
        <v>32.88</v>
      </c>
      <c r="AM334" s="33"/>
      <c r="AN334" s="34" t="n">
        <v>0</v>
      </c>
      <c r="AO334" s="2" t="n">
        <v>6.34</v>
      </c>
      <c r="AP334" s="23" t="n">
        <v>17.8</v>
      </c>
      <c r="AQ334" s="33" t="n">
        <v>190.3</v>
      </c>
      <c r="AR334" s="34" t="n">
        <f aca="false">AQ334*0.55</f>
        <v>104.665</v>
      </c>
      <c r="AS334" s="34" t="n">
        <v>0</v>
      </c>
      <c r="AT334" s="33" t="n">
        <v>7.3</v>
      </c>
      <c r="AU334" s="23" t="n">
        <v>18.3</v>
      </c>
      <c r="AV334" s="33" t="n">
        <v>297</v>
      </c>
      <c r="AW334" s="34" t="n">
        <f aca="false">0.55*AV334</f>
        <v>163.35</v>
      </c>
      <c r="AX334" s="34"/>
      <c r="AY334" s="34" t="n">
        <v>0</v>
      </c>
    </row>
    <row r="335" customFormat="false" ht="15" hidden="false" customHeight="false" outlineLevel="0" collapsed="false">
      <c r="A335" s="16" t="s">
        <v>106</v>
      </c>
      <c r="B335" s="2" t="s">
        <v>51</v>
      </c>
      <c r="C335" s="32" t="n">
        <v>8.09</v>
      </c>
      <c r="D335" s="23" t="n">
        <v>19</v>
      </c>
      <c r="E335" s="33" t="n">
        <v>54.3</v>
      </c>
      <c r="F335" s="34" t="n">
        <f aca="false">0.6*E335</f>
        <v>32.58</v>
      </c>
      <c r="G335" s="33" t="n">
        <v>0.66</v>
      </c>
      <c r="H335" s="33" t="n">
        <v>8.06</v>
      </c>
      <c r="I335" s="23" t="n">
        <v>17.2</v>
      </c>
      <c r="J335" s="49"/>
      <c r="K335" s="37"/>
      <c r="L335" s="33" t="n">
        <v>2.59</v>
      </c>
      <c r="M335" s="33" t="n">
        <v>8.05</v>
      </c>
      <c r="N335" s="23" t="n">
        <v>17.9</v>
      </c>
      <c r="O335" s="49"/>
      <c r="P335" s="37"/>
      <c r="Q335" s="33" t="n">
        <v>1.44</v>
      </c>
      <c r="R335" s="33" t="n">
        <v>8.03</v>
      </c>
      <c r="S335" s="23" t="n">
        <v>17</v>
      </c>
      <c r="T335" s="49"/>
      <c r="U335" s="37"/>
      <c r="V335" s="34" t="n">
        <v>0.25</v>
      </c>
      <c r="W335" s="33" t="n">
        <v>8.05</v>
      </c>
      <c r="X335" s="23" t="n">
        <v>17.9</v>
      </c>
      <c r="Y335" s="49"/>
      <c r="Z335" s="37"/>
      <c r="AA335" s="34" t="n">
        <v>0.23</v>
      </c>
      <c r="AB335" s="33" t="n">
        <v>8</v>
      </c>
      <c r="AC335" s="23" t="n">
        <v>18</v>
      </c>
      <c r="AD335" s="33" t="n">
        <v>54.3</v>
      </c>
      <c r="AE335" s="34" t="n">
        <f aca="false">0.6*AD335</f>
        <v>32.58</v>
      </c>
      <c r="AF335" s="21"/>
      <c r="AG335" s="34" t="n">
        <v>0.18</v>
      </c>
      <c r="AH335" s="21"/>
      <c r="AI335" s="33" t="n">
        <v>8</v>
      </c>
      <c r="AJ335" s="23" t="n">
        <v>18</v>
      </c>
      <c r="AK335" s="33" t="n">
        <v>54.3</v>
      </c>
      <c r="AL335" s="34" t="n">
        <f aca="false">0.6*AK335</f>
        <v>32.58</v>
      </c>
      <c r="AM335" s="33"/>
      <c r="AN335" s="34" t="n">
        <v>0.21</v>
      </c>
      <c r="AO335" s="2" t="n">
        <v>6.37</v>
      </c>
      <c r="AP335" s="23" t="n">
        <v>18.2</v>
      </c>
      <c r="AQ335" s="33" t="n">
        <v>229</v>
      </c>
      <c r="AR335" s="34" t="n">
        <f aca="false">0.55*AQ335</f>
        <v>125.95</v>
      </c>
      <c r="AS335" s="34" t="n">
        <v>0</v>
      </c>
      <c r="AT335" s="33" t="n">
        <v>7.46</v>
      </c>
      <c r="AU335" s="23" t="n">
        <v>18.7</v>
      </c>
      <c r="AV335" s="33" t="n">
        <v>312</v>
      </c>
      <c r="AW335" s="34" t="n">
        <f aca="false">AV335*0.6</f>
        <v>187.2</v>
      </c>
      <c r="AX335" s="34" t="n">
        <v>1.1</v>
      </c>
      <c r="AY335" s="34" t="n">
        <v>0</v>
      </c>
    </row>
    <row r="336" customFormat="false" ht="15" hidden="false" customHeight="false" outlineLevel="0" collapsed="false">
      <c r="A336" s="16" t="s">
        <v>106</v>
      </c>
      <c r="B336" s="2" t="s">
        <v>52</v>
      </c>
      <c r="C336" s="32" t="n">
        <v>8.11</v>
      </c>
      <c r="D336" s="23" t="n">
        <v>18.1</v>
      </c>
      <c r="E336" s="33" t="n">
        <v>54.5</v>
      </c>
      <c r="F336" s="34" t="n">
        <f aca="false">E336*0.6</f>
        <v>32.7</v>
      </c>
      <c r="G336" s="33" t="n">
        <v>0.71</v>
      </c>
      <c r="H336" s="33" t="n">
        <v>8.09</v>
      </c>
      <c r="I336" s="23" t="n">
        <v>17</v>
      </c>
      <c r="J336" s="49"/>
      <c r="K336" s="49"/>
      <c r="L336" s="33" t="n">
        <v>2.37</v>
      </c>
      <c r="M336" s="33" t="n">
        <v>8.09</v>
      </c>
      <c r="N336" s="23" t="n">
        <v>17</v>
      </c>
      <c r="O336" s="49"/>
      <c r="P336" s="49"/>
      <c r="Q336" s="33" t="n">
        <v>2.37</v>
      </c>
      <c r="R336" s="34" t="n">
        <v>8.1</v>
      </c>
      <c r="S336" s="23" t="n">
        <v>17.2</v>
      </c>
      <c r="T336" s="49"/>
      <c r="U336" s="49"/>
      <c r="V336" s="34" t="n">
        <v>0.33</v>
      </c>
      <c r="W336" s="33" t="n">
        <v>8.1</v>
      </c>
      <c r="X336" s="23" t="n">
        <v>17.2</v>
      </c>
      <c r="Y336" s="49"/>
      <c r="Z336" s="49"/>
      <c r="AA336" s="34" t="n">
        <v>0.26</v>
      </c>
      <c r="AB336" s="33" t="n">
        <v>8.09</v>
      </c>
      <c r="AC336" s="23" t="n">
        <v>17.1</v>
      </c>
      <c r="AD336" s="33" t="n">
        <v>54.7</v>
      </c>
      <c r="AE336" s="34" t="n">
        <f aca="false">AD336*0.6</f>
        <v>32.82</v>
      </c>
      <c r="AF336" s="33"/>
      <c r="AG336" s="34" t="n">
        <v>0.29</v>
      </c>
      <c r="AH336" s="33" t="s">
        <v>75</v>
      </c>
      <c r="AI336" s="33" t="n">
        <v>8.09</v>
      </c>
      <c r="AJ336" s="23" t="n">
        <v>17.1</v>
      </c>
      <c r="AK336" s="33" t="n">
        <v>54.7</v>
      </c>
      <c r="AL336" s="34" t="n">
        <f aca="false">AK336*0.6</f>
        <v>32.82</v>
      </c>
      <c r="AM336" s="33"/>
      <c r="AN336" s="34" t="n">
        <v>0</v>
      </c>
      <c r="AO336" s="2" t="n">
        <v>6.31</v>
      </c>
      <c r="AP336" s="23" t="n">
        <v>17.9</v>
      </c>
      <c r="AQ336" s="33" t="n">
        <v>221</v>
      </c>
      <c r="AR336" s="34" t="n">
        <f aca="false">0.55*AQ336</f>
        <v>121.55</v>
      </c>
      <c r="AS336" s="34" t="n">
        <v>0</v>
      </c>
      <c r="AT336" s="33" t="n">
        <v>7.41</v>
      </c>
      <c r="AU336" s="23" t="n">
        <v>18.5</v>
      </c>
      <c r="AV336" s="33" t="n">
        <v>296</v>
      </c>
      <c r="AW336" s="34" t="n">
        <f aca="false">AV336*0.55</f>
        <v>162.8</v>
      </c>
      <c r="AX336" s="34" t="n">
        <v>0.8</v>
      </c>
      <c r="AY336" s="34" t="n">
        <v>0</v>
      </c>
    </row>
    <row r="337" customFormat="false" ht="15" hidden="false" customHeight="false" outlineLevel="0" collapsed="false">
      <c r="A337" s="16" t="s">
        <v>106</v>
      </c>
      <c r="B337" s="2" t="s">
        <v>57</v>
      </c>
      <c r="C337" s="32" t="n">
        <v>8.08</v>
      </c>
      <c r="D337" s="23" t="n">
        <v>19</v>
      </c>
      <c r="E337" s="33" t="n">
        <v>54.4</v>
      </c>
      <c r="F337" s="34" t="n">
        <f aca="false">0.6*E337</f>
        <v>32.64</v>
      </c>
      <c r="G337" s="33" t="n">
        <v>0.23</v>
      </c>
      <c r="H337" s="33" t="n">
        <v>8.07</v>
      </c>
      <c r="I337" s="23" t="n">
        <v>19</v>
      </c>
      <c r="J337" s="49"/>
      <c r="K337" s="49"/>
      <c r="L337" s="33" t="n">
        <v>2.2</v>
      </c>
      <c r="M337" s="33" t="n">
        <v>8.07</v>
      </c>
      <c r="N337" s="23" t="n">
        <v>19</v>
      </c>
      <c r="O337" s="49"/>
      <c r="P337" s="49"/>
      <c r="Q337" s="33" t="n">
        <v>2.38</v>
      </c>
      <c r="R337" s="34" t="n">
        <v>8.05</v>
      </c>
      <c r="S337" s="19" t="n">
        <v>17.5</v>
      </c>
      <c r="T337" s="49"/>
      <c r="U337" s="49"/>
      <c r="V337" s="34" t="n">
        <v>0</v>
      </c>
      <c r="W337" s="33" t="n">
        <v>8.05</v>
      </c>
      <c r="X337" s="23" t="n">
        <v>17.5</v>
      </c>
      <c r="Y337" s="49"/>
      <c r="Z337" s="49"/>
      <c r="AA337" s="34" t="n">
        <v>0</v>
      </c>
      <c r="AB337" s="33" t="n">
        <v>8.02</v>
      </c>
      <c r="AC337" s="23" t="n">
        <v>17.3</v>
      </c>
      <c r="AD337" s="33" t="n">
        <v>54.5</v>
      </c>
      <c r="AE337" s="34" t="n">
        <f aca="false">AD337*0.6</f>
        <v>32.7</v>
      </c>
      <c r="AF337" s="33"/>
      <c r="AG337" s="34" t="n">
        <v>0</v>
      </c>
      <c r="AH337" s="45"/>
      <c r="AI337" s="33" t="n">
        <v>8.02</v>
      </c>
      <c r="AJ337" s="23" t="n">
        <v>17.3</v>
      </c>
      <c r="AK337" s="33" t="n">
        <v>54.5</v>
      </c>
      <c r="AL337" s="34" t="n">
        <f aca="false">AK337*0.6</f>
        <v>32.7</v>
      </c>
      <c r="AM337" s="33"/>
      <c r="AN337" s="34" t="n">
        <v>0</v>
      </c>
      <c r="AO337" s="2" t="n">
        <v>6.32</v>
      </c>
      <c r="AP337" s="23" t="n">
        <v>18.3</v>
      </c>
      <c r="AQ337" s="33" t="n">
        <v>222</v>
      </c>
      <c r="AR337" s="34" t="n">
        <f aca="false">AQ337*0.55</f>
        <v>122.1</v>
      </c>
      <c r="AS337" s="34" t="n">
        <v>0</v>
      </c>
      <c r="AT337" s="33" t="n">
        <v>7.32</v>
      </c>
      <c r="AU337" s="23" t="n">
        <v>19.6</v>
      </c>
      <c r="AV337" s="33" t="n">
        <v>301</v>
      </c>
      <c r="AW337" s="34" t="n">
        <f aca="false">0.55*AV337</f>
        <v>165.55</v>
      </c>
      <c r="AX337" s="34"/>
      <c r="AY337" s="34" t="n">
        <v>0</v>
      </c>
    </row>
    <row r="338" customFormat="false" ht="15" hidden="false" customHeight="false" outlineLevel="0" collapsed="false">
      <c r="A338" s="16" t="s">
        <v>107</v>
      </c>
      <c r="B338" s="2" t="s">
        <v>51</v>
      </c>
      <c r="C338" s="32" t="n">
        <v>8.05</v>
      </c>
      <c r="D338" s="23" t="n">
        <v>17.8</v>
      </c>
      <c r="E338" s="33" t="n">
        <v>54.8</v>
      </c>
      <c r="F338" s="34" t="n">
        <f aca="false">0.6*E338</f>
        <v>32.88</v>
      </c>
      <c r="G338" s="33" t="n">
        <v>0.59</v>
      </c>
      <c r="H338" s="33" t="n">
        <v>8.03</v>
      </c>
      <c r="I338" s="23" t="n">
        <v>17.9</v>
      </c>
      <c r="J338" s="49"/>
      <c r="K338" s="37"/>
      <c r="L338" s="33" t="n">
        <v>2.1</v>
      </c>
      <c r="M338" s="33" t="n">
        <v>8.03</v>
      </c>
      <c r="N338" s="23" t="n">
        <v>17.9</v>
      </c>
      <c r="O338" s="49"/>
      <c r="P338" s="37"/>
      <c r="Q338" s="33" t="n">
        <v>1.15</v>
      </c>
      <c r="R338" s="33" t="n">
        <v>8</v>
      </c>
      <c r="S338" s="23" t="n">
        <v>17.3</v>
      </c>
      <c r="T338" s="49"/>
      <c r="U338" s="37"/>
      <c r="V338" s="34" t="n">
        <v>0</v>
      </c>
      <c r="W338" s="33" t="n">
        <v>8</v>
      </c>
      <c r="X338" s="23" t="n">
        <v>17.3</v>
      </c>
      <c r="Y338" s="49"/>
      <c r="Z338" s="37"/>
      <c r="AA338" s="34" t="n">
        <v>0</v>
      </c>
      <c r="AB338" s="33" t="n">
        <v>7.96</v>
      </c>
      <c r="AC338" s="23" t="n">
        <v>17.2</v>
      </c>
      <c r="AD338" s="33" t="n">
        <v>54.7</v>
      </c>
      <c r="AE338" s="34" t="n">
        <f aca="false">0.6*AD338</f>
        <v>32.82</v>
      </c>
      <c r="AF338" s="33"/>
      <c r="AG338" s="34" t="n">
        <v>0</v>
      </c>
      <c r="AH338" s="33"/>
      <c r="AI338" s="33" t="n">
        <v>7.96</v>
      </c>
      <c r="AJ338" s="23" t="n">
        <v>17.2</v>
      </c>
      <c r="AK338" s="33" t="n">
        <v>54.7</v>
      </c>
      <c r="AL338" s="34" t="n">
        <f aca="false">0.6*AK338</f>
        <v>32.82</v>
      </c>
      <c r="AM338" s="33"/>
      <c r="AN338" s="34" t="n">
        <v>0</v>
      </c>
      <c r="AO338" s="2" t="n">
        <v>6.17</v>
      </c>
      <c r="AP338" s="23" t="n">
        <v>18.1</v>
      </c>
      <c r="AQ338" s="33" t="n">
        <v>203</v>
      </c>
      <c r="AR338" s="34" t="n">
        <f aca="false">0.55*AQ338</f>
        <v>111.65</v>
      </c>
      <c r="AS338" s="34" t="n">
        <v>0</v>
      </c>
      <c r="AT338" s="33" t="n">
        <v>7.1</v>
      </c>
      <c r="AU338" s="23" t="n">
        <v>18.3</v>
      </c>
      <c r="AV338" s="33" t="n">
        <v>307</v>
      </c>
      <c r="AW338" s="34" t="n">
        <f aca="false">AV338*0.6</f>
        <v>184.2</v>
      </c>
      <c r="AX338" s="34" t="n">
        <v>1.1</v>
      </c>
      <c r="AY338" s="34" t="n">
        <v>0</v>
      </c>
    </row>
    <row r="339" customFormat="false" ht="15" hidden="false" customHeight="false" outlineLevel="0" collapsed="false">
      <c r="A339" s="16" t="s">
        <v>107</v>
      </c>
      <c r="B339" s="2" t="s">
        <v>52</v>
      </c>
      <c r="C339" s="32" t="n">
        <v>8.11</v>
      </c>
      <c r="D339" s="23" t="n">
        <v>18.4</v>
      </c>
      <c r="E339" s="33" t="n">
        <v>54.6</v>
      </c>
      <c r="F339" s="34" t="n">
        <f aca="false">E339*0.6</f>
        <v>32.76</v>
      </c>
      <c r="G339" s="33" t="n">
        <v>0.27</v>
      </c>
      <c r="H339" s="33" t="n">
        <v>8.08</v>
      </c>
      <c r="I339" s="23" t="n">
        <v>17.2</v>
      </c>
      <c r="J339" s="49"/>
      <c r="K339" s="49"/>
      <c r="L339" s="33" t="n">
        <v>2.03</v>
      </c>
      <c r="M339" s="33" t="n">
        <v>8.08</v>
      </c>
      <c r="N339" s="23" t="n">
        <v>17.1</v>
      </c>
      <c r="O339" s="49"/>
      <c r="P339" s="49"/>
      <c r="Q339" s="33" t="n">
        <v>1.2</v>
      </c>
      <c r="R339" s="34" t="n">
        <v>8.06</v>
      </c>
      <c r="S339" s="23" t="n">
        <v>17.2</v>
      </c>
      <c r="T339" s="49"/>
      <c r="U339" s="49"/>
      <c r="V339" s="34" t="n">
        <v>0</v>
      </c>
      <c r="W339" s="33" t="n">
        <v>8.06</v>
      </c>
      <c r="X339" s="23" t="n">
        <v>17.2</v>
      </c>
      <c r="Y339" s="49"/>
      <c r="Z339" s="49"/>
      <c r="AA339" s="34" t="n">
        <v>0</v>
      </c>
      <c r="AB339" s="33"/>
      <c r="AC339" s="23"/>
      <c r="AD339" s="33"/>
      <c r="AE339" s="34"/>
      <c r="AF339" s="33"/>
      <c r="AG339" s="34"/>
      <c r="AH339" s="33" t="s">
        <v>75</v>
      </c>
      <c r="AI339" s="33" t="n">
        <v>8.02</v>
      </c>
      <c r="AJ339" s="23" t="n">
        <v>17.6</v>
      </c>
      <c r="AK339" s="33" t="n">
        <v>54.6</v>
      </c>
      <c r="AL339" s="34" t="n">
        <f aca="false">AK339*0.6</f>
        <v>32.76</v>
      </c>
      <c r="AM339" s="33"/>
      <c r="AN339" s="34" t="n">
        <v>0</v>
      </c>
      <c r="AO339" s="2" t="n">
        <v>6.59</v>
      </c>
      <c r="AP339" s="23" t="n">
        <v>18.1</v>
      </c>
      <c r="AQ339" s="33" t="n">
        <v>202</v>
      </c>
      <c r="AR339" s="34" t="n">
        <f aca="false">0.55*AQ339</f>
        <v>111.1</v>
      </c>
      <c r="AS339" s="34" t="n">
        <v>0</v>
      </c>
      <c r="AT339" s="33" t="n">
        <v>7.44</v>
      </c>
      <c r="AU339" s="23" t="n">
        <v>18.2</v>
      </c>
      <c r="AV339" s="33" t="n">
        <v>326</v>
      </c>
      <c r="AW339" s="34" t="n">
        <f aca="false">AV339*0.55</f>
        <v>179.3</v>
      </c>
      <c r="AX339" s="34"/>
      <c r="AY339" s="34" t="n">
        <v>0.15</v>
      </c>
    </row>
    <row r="340" customFormat="false" ht="15" hidden="false" customHeight="false" outlineLevel="0" collapsed="false">
      <c r="A340" s="16" t="s">
        <v>107</v>
      </c>
      <c r="B340" s="2" t="s">
        <v>57</v>
      </c>
      <c r="C340" s="32" t="n">
        <v>8.09</v>
      </c>
      <c r="D340" s="23" t="n">
        <v>18.9</v>
      </c>
      <c r="E340" s="33" t="n">
        <v>54.16</v>
      </c>
      <c r="F340" s="34" t="n">
        <f aca="false">0.6*E340</f>
        <v>32.496</v>
      </c>
      <c r="G340" s="33" t="n">
        <v>0.81</v>
      </c>
      <c r="H340" s="33" t="n">
        <v>8.08</v>
      </c>
      <c r="I340" s="23" t="n">
        <v>17.1</v>
      </c>
      <c r="J340" s="49"/>
      <c r="K340" s="49"/>
      <c r="L340" s="33" t="n">
        <v>1.06</v>
      </c>
      <c r="M340" s="33" t="n">
        <v>8.08</v>
      </c>
      <c r="N340" s="23" t="n">
        <v>17.1</v>
      </c>
      <c r="O340" s="49"/>
      <c r="P340" s="49"/>
      <c r="Q340" s="33" t="n">
        <v>2.03</v>
      </c>
      <c r="R340" s="34" t="n">
        <v>8.05</v>
      </c>
      <c r="S340" s="19"/>
      <c r="T340" s="49"/>
      <c r="U340" s="49"/>
      <c r="V340" s="34" t="n">
        <v>0</v>
      </c>
      <c r="W340" s="33" t="n">
        <v>8.05</v>
      </c>
      <c r="X340" s="23"/>
      <c r="Y340" s="49"/>
      <c r="Z340" s="49"/>
      <c r="AA340" s="34" t="n">
        <v>0</v>
      </c>
      <c r="AB340" s="33"/>
      <c r="AC340" s="23"/>
      <c r="AD340" s="33"/>
      <c r="AE340" s="34"/>
      <c r="AF340" s="33"/>
      <c r="AG340" s="34"/>
      <c r="AH340" s="45"/>
      <c r="AI340" s="33" t="n">
        <v>8.02</v>
      </c>
      <c r="AJ340" s="23" t="n">
        <v>17.3</v>
      </c>
      <c r="AK340" s="33" t="n">
        <v>54.6</v>
      </c>
      <c r="AL340" s="34" t="n">
        <f aca="false">AK340*0.6</f>
        <v>32.76</v>
      </c>
      <c r="AM340" s="33"/>
      <c r="AN340" s="34" t="n">
        <v>0.02</v>
      </c>
      <c r="AO340" s="2" t="n">
        <v>6.41</v>
      </c>
      <c r="AP340" s="23" t="n">
        <v>17.8</v>
      </c>
      <c r="AQ340" s="33" t="n">
        <v>208</v>
      </c>
      <c r="AR340" s="34" t="n">
        <f aca="false">AQ340*0.55</f>
        <v>114.4</v>
      </c>
      <c r="AS340" s="34" t="n">
        <v>0.04</v>
      </c>
      <c r="AT340" s="33" t="n">
        <v>7.73</v>
      </c>
      <c r="AU340" s="23" t="n">
        <v>18.9</v>
      </c>
      <c r="AV340" s="33" t="n">
        <v>308</v>
      </c>
      <c r="AW340" s="34" t="n">
        <f aca="false">0.55*AV340</f>
        <v>169.4</v>
      </c>
      <c r="AX340" s="34"/>
      <c r="AY340" s="34" t="n">
        <v>0</v>
      </c>
    </row>
    <row r="341" customFormat="false" ht="15" hidden="false" customHeight="false" outlineLevel="0" collapsed="false">
      <c r="A341" s="16" t="s">
        <v>108</v>
      </c>
      <c r="B341" s="2" t="s">
        <v>51</v>
      </c>
      <c r="C341" s="32" t="n">
        <v>8.09</v>
      </c>
      <c r="D341" s="23" t="n">
        <v>18.6</v>
      </c>
      <c r="E341" s="33" t="n">
        <v>54.6</v>
      </c>
      <c r="F341" s="34" t="n">
        <f aca="false">0.6*E341</f>
        <v>32.76</v>
      </c>
      <c r="G341" s="33" t="n">
        <v>0.29</v>
      </c>
      <c r="H341" s="33" t="n">
        <v>8.08</v>
      </c>
      <c r="I341" s="23" t="n">
        <v>17.8</v>
      </c>
      <c r="J341" s="49"/>
      <c r="K341" s="37"/>
      <c r="L341" s="33" t="n">
        <v>0.79</v>
      </c>
      <c r="M341" s="33" t="n">
        <v>8.08</v>
      </c>
      <c r="N341" s="23" t="n">
        <v>17.8</v>
      </c>
      <c r="O341" s="49"/>
      <c r="P341" s="37"/>
      <c r="Q341" s="33" t="n">
        <v>1.05</v>
      </c>
      <c r="R341" s="33" t="n">
        <v>8.07</v>
      </c>
      <c r="S341" s="23" t="n">
        <v>17.9</v>
      </c>
      <c r="T341" s="49"/>
      <c r="U341" s="37"/>
      <c r="V341" s="34" t="n">
        <v>0</v>
      </c>
      <c r="W341" s="33" t="n">
        <v>8.07</v>
      </c>
      <c r="X341" s="23" t="n">
        <v>17.9</v>
      </c>
      <c r="Y341" s="49"/>
      <c r="Z341" s="37"/>
      <c r="AA341" s="34" t="n">
        <v>0</v>
      </c>
      <c r="AB341" s="33" t="n">
        <v>8.06</v>
      </c>
      <c r="AC341" s="23" t="n">
        <v>18.2</v>
      </c>
      <c r="AD341" s="33" t="n">
        <v>54.6</v>
      </c>
      <c r="AE341" s="34" t="n">
        <f aca="false">0.6*AD341</f>
        <v>32.76</v>
      </c>
      <c r="AF341" s="33"/>
      <c r="AG341" s="34" t="n">
        <v>0</v>
      </c>
      <c r="AH341" s="33"/>
      <c r="AI341" s="33" t="n">
        <v>8.06</v>
      </c>
      <c r="AJ341" s="23" t="n">
        <v>18.2</v>
      </c>
      <c r="AK341" s="33" t="n">
        <v>54.6</v>
      </c>
      <c r="AL341" s="34" t="n">
        <f aca="false">0.6*AK341</f>
        <v>32.76</v>
      </c>
      <c r="AM341" s="33"/>
      <c r="AN341" s="34" t="n">
        <v>0</v>
      </c>
      <c r="AO341" s="2" t="n">
        <v>6.35</v>
      </c>
      <c r="AP341" s="23" t="n">
        <v>18.6</v>
      </c>
      <c r="AQ341" s="33" t="n">
        <v>202</v>
      </c>
      <c r="AR341" s="34" t="n">
        <f aca="false">0.55*AQ341</f>
        <v>111.1</v>
      </c>
      <c r="AS341" s="34" t="n">
        <v>0</v>
      </c>
      <c r="AT341" s="33" t="n">
        <v>7.86</v>
      </c>
      <c r="AU341" s="23" t="n">
        <v>18.5</v>
      </c>
      <c r="AV341" s="33" t="n">
        <v>320</v>
      </c>
      <c r="AW341" s="34" t="n">
        <f aca="false">AV341*0.6</f>
        <v>192</v>
      </c>
      <c r="AX341" s="34"/>
      <c r="AY341" s="34" t="n">
        <v>0.06</v>
      </c>
    </row>
    <row r="342" customFormat="false" ht="15" hidden="false" customHeight="false" outlineLevel="0" collapsed="false">
      <c r="A342" s="16" t="s">
        <v>109</v>
      </c>
      <c r="B342" s="2" t="s">
        <v>51</v>
      </c>
      <c r="C342" s="32" t="n">
        <v>8.12</v>
      </c>
      <c r="D342" s="23" t="n">
        <v>19.3</v>
      </c>
      <c r="E342" s="33" t="n">
        <v>54.6</v>
      </c>
      <c r="F342" s="34" t="n">
        <f aca="false">0.6*E342</f>
        <v>32.76</v>
      </c>
      <c r="G342" s="33" t="n">
        <v>0.16</v>
      </c>
      <c r="H342" s="33" t="n">
        <v>8.1</v>
      </c>
      <c r="I342" s="23" t="n">
        <v>17.8</v>
      </c>
      <c r="J342" s="49"/>
      <c r="K342" s="37"/>
      <c r="L342" s="33" t="n">
        <v>1.02</v>
      </c>
      <c r="M342" s="33" t="n">
        <v>8.1</v>
      </c>
      <c r="N342" s="23" t="n">
        <v>17.8</v>
      </c>
      <c r="O342" s="49"/>
      <c r="P342" s="37"/>
      <c r="Q342" s="33" t="n">
        <v>0.7</v>
      </c>
      <c r="R342" s="33" t="n">
        <v>8.1</v>
      </c>
      <c r="S342" s="23" t="n">
        <v>17.9</v>
      </c>
      <c r="T342" s="49"/>
      <c r="U342" s="37"/>
      <c r="V342" s="34" t="n">
        <v>0.13</v>
      </c>
      <c r="W342" s="33" t="n">
        <v>8.1</v>
      </c>
      <c r="X342" s="23" t="n">
        <v>17.9</v>
      </c>
      <c r="Y342" s="49"/>
      <c r="Z342" s="37"/>
      <c r="AA342" s="34" t="n">
        <v>0</v>
      </c>
      <c r="AB342" s="33" t="n">
        <v>80.9</v>
      </c>
      <c r="AC342" s="23" t="n">
        <v>18.2</v>
      </c>
      <c r="AD342" s="33" t="n">
        <v>54.7</v>
      </c>
      <c r="AE342" s="34" t="n">
        <f aca="false">0.6*AD342</f>
        <v>32.82</v>
      </c>
      <c r="AF342" s="33"/>
      <c r="AG342" s="34" t="n">
        <v>0</v>
      </c>
      <c r="AH342" s="33"/>
      <c r="AI342" s="33" t="n">
        <v>8.09</v>
      </c>
      <c r="AJ342" s="23" t="n">
        <v>18.2</v>
      </c>
      <c r="AK342" s="33" t="n">
        <v>54.7</v>
      </c>
      <c r="AL342" s="34" t="n">
        <f aca="false">0.6*AK342</f>
        <v>32.82</v>
      </c>
      <c r="AM342" s="33"/>
      <c r="AN342" s="34" t="n">
        <v>0</v>
      </c>
      <c r="AO342" s="2" t="n">
        <v>6.46</v>
      </c>
      <c r="AP342" s="23" t="n">
        <v>18.6</v>
      </c>
      <c r="AQ342" s="33" t="n">
        <v>216</v>
      </c>
      <c r="AR342" s="34" t="n">
        <f aca="false">0.55*AQ342</f>
        <v>118.8</v>
      </c>
      <c r="AS342" s="34" t="n">
        <v>0</v>
      </c>
      <c r="AT342" s="33" t="n">
        <v>7.89</v>
      </c>
      <c r="AU342" s="23" t="n">
        <v>19.6</v>
      </c>
      <c r="AV342" s="33" t="n">
        <v>327</v>
      </c>
      <c r="AW342" s="34" t="n">
        <f aca="false">AV342*0.6</f>
        <v>196.2</v>
      </c>
      <c r="AX342" s="53"/>
      <c r="AY342" s="34" t="n">
        <v>0.46</v>
      </c>
    </row>
    <row r="343" customFormat="false" ht="15" hidden="false" customHeight="false" outlineLevel="0" collapsed="false">
      <c r="A343" s="16" t="s">
        <v>109</v>
      </c>
      <c r="B343" s="2" t="s">
        <v>52</v>
      </c>
      <c r="C343" s="29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P343" s="21"/>
      <c r="AQ343" s="21"/>
      <c r="AR343" s="21"/>
      <c r="AS343" s="21"/>
      <c r="AT343" s="33" t="n">
        <v>8.02</v>
      </c>
      <c r="AU343" s="23" t="n">
        <v>19.7</v>
      </c>
      <c r="AV343" s="33" t="n">
        <v>334</v>
      </c>
      <c r="AW343" s="34" t="n">
        <f aca="false">AV343*0.55</f>
        <v>183.7</v>
      </c>
      <c r="AX343" s="34" t="n">
        <v>1</v>
      </c>
      <c r="AY343" s="34" t="n">
        <v>0.14</v>
      </c>
    </row>
    <row r="344" customFormat="false" ht="15" hidden="false" customHeight="false" outlineLevel="0" collapsed="false">
      <c r="A344" s="16" t="s">
        <v>109</v>
      </c>
      <c r="B344" s="2" t="s">
        <v>57</v>
      </c>
      <c r="C344" s="29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P344" s="21"/>
      <c r="AQ344" s="21"/>
      <c r="AR344" s="21"/>
      <c r="AS344" s="21"/>
      <c r="AT344" s="33" t="n">
        <v>8.1</v>
      </c>
      <c r="AU344" s="23" t="n">
        <v>20.7</v>
      </c>
      <c r="AV344" s="33" t="n">
        <v>375</v>
      </c>
      <c r="AW344" s="34" t="n">
        <f aca="false">0.55*AV344</f>
        <v>206.25</v>
      </c>
      <c r="AX344" s="34" t="n">
        <v>1</v>
      </c>
      <c r="AY344" s="34" t="n">
        <v>0</v>
      </c>
    </row>
    <row r="345" customFormat="false" ht="15" hidden="false" customHeight="false" outlineLevel="0" collapsed="false">
      <c r="A345" s="16" t="s">
        <v>110</v>
      </c>
      <c r="B345" s="2" t="s">
        <v>51</v>
      </c>
      <c r="C345" s="32" t="n">
        <v>8.13</v>
      </c>
      <c r="D345" s="23" t="n">
        <v>19</v>
      </c>
      <c r="E345" s="33" t="n">
        <v>54.5</v>
      </c>
      <c r="F345" s="34" t="n">
        <f aca="false">0.6*E345</f>
        <v>32.7</v>
      </c>
      <c r="G345" s="33" t="n">
        <v>0.28</v>
      </c>
      <c r="H345" s="33" t="n">
        <v>8.1</v>
      </c>
      <c r="I345" s="23" t="n">
        <v>18.4</v>
      </c>
      <c r="J345" s="49"/>
      <c r="K345" s="49"/>
      <c r="L345" s="33" t="n">
        <v>0.63</v>
      </c>
      <c r="M345" s="33" t="n">
        <v>8.1</v>
      </c>
      <c r="N345" s="23" t="n">
        <v>18.2</v>
      </c>
      <c r="O345" s="49"/>
      <c r="P345" s="49"/>
      <c r="Q345" s="33" t="n">
        <v>0.66</v>
      </c>
      <c r="R345" s="34" t="n">
        <v>8.07</v>
      </c>
      <c r="S345" s="23" t="n">
        <v>18</v>
      </c>
      <c r="T345" s="49"/>
      <c r="U345" s="49"/>
      <c r="V345" s="34" t="n">
        <v>0</v>
      </c>
      <c r="W345" s="33" t="n">
        <v>8.07</v>
      </c>
      <c r="X345" s="23" t="n">
        <v>17.9</v>
      </c>
      <c r="Y345" s="49"/>
      <c r="Z345" s="49"/>
      <c r="AA345" s="34" t="n">
        <v>0</v>
      </c>
      <c r="AB345" s="33" t="n">
        <v>8.04</v>
      </c>
      <c r="AC345" s="23" t="n">
        <v>18.9</v>
      </c>
      <c r="AD345" s="33" t="n">
        <v>54.5</v>
      </c>
      <c r="AE345" s="34" t="n">
        <f aca="false">0.6*AD345</f>
        <v>32.7</v>
      </c>
      <c r="AF345" s="33"/>
      <c r="AG345" s="34" t="n">
        <v>0</v>
      </c>
      <c r="AH345" s="33" t="s">
        <v>75</v>
      </c>
      <c r="AI345" s="33" t="n">
        <v>8.04</v>
      </c>
      <c r="AJ345" s="23" t="n">
        <v>18.7</v>
      </c>
      <c r="AK345" s="33" t="n">
        <v>54.5</v>
      </c>
      <c r="AL345" s="34" t="n">
        <f aca="false">0.6*AK345</f>
        <v>32.7</v>
      </c>
      <c r="AM345" s="33"/>
      <c r="AN345" s="34" t="n">
        <v>0</v>
      </c>
      <c r="AO345" s="33" t="n">
        <v>6.26</v>
      </c>
      <c r="AP345" s="23" t="n">
        <v>19</v>
      </c>
      <c r="AQ345" s="33" t="n">
        <v>234</v>
      </c>
      <c r="AR345" s="34" t="n">
        <f aca="false">AQ345*0.55</f>
        <v>128.7</v>
      </c>
      <c r="AS345" s="34" t="n">
        <v>0</v>
      </c>
      <c r="AT345" s="33" t="n">
        <v>7.88</v>
      </c>
      <c r="AU345" s="23" t="n">
        <v>19.1</v>
      </c>
      <c r="AV345" s="33" t="n">
        <v>349</v>
      </c>
      <c r="AW345" s="34" t="n">
        <f aca="false">AV345*0.55</f>
        <v>191.95</v>
      </c>
      <c r="AX345" s="34"/>
      <c r="AY345" s="34" t="n">
        <v>0.01</v>
      </c>
    </row>
    <row r="346" customFormat="false" ht="15" hidden="false" customHeight="false" outlineLevel="0" collapsed="false">
      <c r="A346" s="16" t="s">
        <v>110</v>
      </c>
      <c r="B346" s="2" t="s">
        <v>52</v>
      </c>
      <c r="C346" s="32" t="n">
        <v>8.07</v>
      </c>
      <c r="D346" s="23" t="n">
        <v>20.5</v>
      </c>
      <c r="E346" s="33" t="n">
        <v>54.6</v>
      </c>
      <c r="F346" s="34" t="n">
        <f aca="false">0.6*E346</f>
        <v>32.76</v>
      </c>
      <c r="G346" s="33" t="n">
        <v>0.7</v>
      </c>
      <c r="H346" s="33" t="n">
        <v>8.05</v>
      </c>
      <c r="I346" s="23" t="n">
        <v>18.6</v>
      </c>
      <c r="J346" s="49"/>
      <c r="K346" s="49"/>
      <c r="L346" s="33" t="n">
        <v>0.75</v>
      </c>
      <c r="M346" s="33" t="n">
        <v>8.06</v>
      </c>
      <c r="N346" s="23" t="n">
        <v>18.7</v>
      </c>
      <c r="O346" s="49"/>
      <c r="P346" s="49"/>
      <c r="Q346" s="33" t="n">
        <v>0.78</v>
      </c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33" t="n">
        <v>8.02</v>
      </c>
      <c r="AC346" s="23" t="n">
        <v>18.3</v>
      </c>
      <c r="AD346" s="33" t="n">
        <v>54.5</v>
      </c>
      <c r="AE346" s="34" t="n">
        <f aca="false">0.6*AD346</f>
        <v>32.7</v>
      </c>
      <c r="AF346" s="33"/>
      <c r="AG346" s="34" t="n">
        <v>0</v>
      </c>
      <c r="AH346" s="45"/>
      <c r="AI346" s="33" t="n">
        <v>8.02</v>
      </c>
      <c r="AJ346" s="23" t="n">
        <v>18.3</v>
      </c>
      <c r="AK346" s="33" t="n">
        <v>54.5</v>
      </c>
      <c r="AL346" s="34" t="n">
        <f aca="false">0.6*AK346</f>
        <v>32.7</v>
      </c>
      <c r="AM346" s="33"/>
      <c r="AN346" s="34" t="n">
        <v>0</v>
      </c>
      <c r="AO346" s="33" t="n">
        <v>6.47</v>
      </c>
      <c r="AP346" s="23" t="n">
        <v>18.8</v>
      </c>
      <c r="AQ346" s="33" t="n">
        <v>222</v>
      </c>
      <c r="AR346" s="34" t="n">
        <f aca="false">0.55*AQ346</f>
        <v>122.1</v>
      </c>
      <c r="AS346" s="34" t="n">
        <v>0</v>
      </c>
      <c r="AT346" s="33" t="n">
        <v>7.83</v>
      </c>
      <c r="AU346" s="23" t="n">
        <v>19.8</v>
      </c>
      <c r="AV346" s="33" t="n">
        <v>408</v>
      </c>
      <c r="AW346" s="34" t="n">
        <f aca="false">0.55*AV346</f>
        <v>224.4</v>
      </c>
      <c r="AX346" s="34"/>
      <c r="AY346" s="34" t="n">
        <v>0</v>
      </c>
    </row>
    <row r="347" customFormat="false" ht="15" hidden="false" customHeight="false" outlineLevel="0" collapsed="false">
      <c r="A347" s="16" t="s">
        <v>110</v>
      </c>
      <c r="B347" s="2" t="s">
        <v>57</v>
      </c>
      <c r="C347" s="29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</row>
    <row r="348" customFormat="false" ht="15" hidden="false" customHeight="false" outlineLevel="0" collapsed="false">
      <c r="A348" s="16" t="s">
        <v>111</v>
      </c>
      <c r="B348" s="2" t="s">
        <v>51</v>
      </c>
      <c r="C348" s="32" t="n">
        <v>8.1</v>
      </c>
      <c r="D348" s="23" t="n">
        <v>19.5</v>
      </c>
      <c r="E348" s="33" t="n">
        <v>54.6</v>
      </c>
      <c r="F348" s="34" t="n">
        <f aca="false">E348*0.65</f>
        <v>35.49</v>
      </c>
      <c r="G348" s="33" t="n">
        <v>0.26</v>
      </c>
      <c r="H348" s="33" t="n">
        <v>8.06</v>
      </c>
      <c r="I348" s="23" t="n">
        <v>18.3</v>
      </c>
      <c r="J348" s="49"/>
      <c r="K348" s="37"/>
      <c r="L348" s="33" t="n">
        <v>0.54</v>
      </c>
      <c r="M348" s="33" t="n">
        <v>8.08</v>
      </c>
      <c r="N348" s="23" t="n">
        <v>18.4</v>
      </c>
      <c r="O348" s="49"/>
      <c r="P348" s="37"/>
      <c r="Q348" s="33" t="n">
        <v>0.54</v>
      </c>
      <c r="R348" s="33" t="n">
        <v>8.04</v>
      </c>
      <c r="S348" s="23" t="n">
        <v>18.2</v>
      </c>
      <c r="T348" s="49"/>
      <c r="U348" s="37"/>
      <c r="V348" s="34" t="n">
        <v>0.06</v>
      </c>
      <c r="W348" s="33" t="n">
        <v>8.04</v>
      </c>
      <c r="X348" s="23" t="n">
        <v>18.1</v>
      </c>
      <c r="Y348" s="49"/>
      <c r="Z348" s="37"/>
      <c r="AA348" s="34" t="n">
        <v>0.03</v>
      </c>
      <c r="AB348" s="33" t="n">
        <v>8.01</v>
      </c>
      <c r="AC348" s="23" t="n">
        <v>18.1</v>
      </c>
      <c r="AD348" s="33" t="n">
        <v>54.6</v>
      </c>
      <c r="AE348" s="34" t="n">
        <f aca="false">AD348*0.65</f>
        <v>35.49</v>
      </c>
      <c r="AF348" s="33"/>
      <c r="AG348" s="34" t="n">
        <v>0.02</v>
      </c>
      <c r="AH348" s="33"/>
      <c r="AI348" s="33" t="n">
        <v>8.01</v>
      </c>
      <c r="AJ348" s="23" t="n">
        <v>18.1</v>
      </c>
      <c r="AK348" s="33" t="n">
        <v>54.6</v>
      </c>
      <c r="AL348" s="34" t="n">
        <f aca="false">AK348*0.65</f>
        <v>35.49</v>
      </c>
      <c r="AM348" s="33"/>
      <c r="AN348" s="34" t="n">
        <v>0.02</v>
      </c>
      <c r="AO348" s="2" t="n">
        <v>6.31</v>
      </c>
      <c r="AP348" s="23" t="n">
        <v>18.8</v>
      </c>
      <c r="AQ348" s="33" t="n">
        <v>216</v>
      </c>
      <c r="AR348" s="34" t="n">
        <f aca="false">AQ348*0.55</f>
        <v>118.8</v>
      </c>
      <c r="AS348" s="34" t="n">
        <v>0.01</v>
      </c>
      <c r="AT348" s="33" t="n">
        <v>8.5</v>
      </c>
      <c r="AU348" s="23" t="n">
        <v>19.8</v>
      </c>
      <c r="AV348" s="33" t="n">
        <v>391</v>
      </c>
      <c r="AW348" s="34" t="n">
        <f aca="false">AV348*0.6</f>
        <v>234.6</v>
      </c>
      <c r="AX348" s="53"/>
      <c r="AY348" s="34" t="n">
        <v>0</v>
      </c>
    </row>
    <row r="349" customFormat="false" ht="15" hidden="false" customHeight="false" outlineLevel="0" collapsed="false">
      <c r="A349" s="16" t="s">
        <v>111</v>
      </c>
      <c r="B349" s="2" t="s">
        <v>52</v>
      </c>
      <c r="C349" s="29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</row>
    <row r="350" customFormat="false" ht="15" hidden="false" customHeight="false" outlineLevel="0" collapsed="false">
      <c r="A350" s="16" t="s">
        <v>111</v>
      </c>
      <c r="B350" s="2" t="s">
        <v>57</v>
      </c>
      <c r="C350" s="32" t="n">
        <v>8.1</v>
      </c>
      <c r="D350" s="23" t="n">
        <v>19</v>
      </c>
      <c r="E350" s="33" t="n">
        <v>54.5</v>
      </c>
      <c r="F350" s="34" t="n">
        <f aca="false">0.65*E350</f>
        <v>35.425</v>
      </c>
      <c r="G350" s="33" t="n">
        <v>0.16</v>
      </c>
      <c r="H350" s="33" t="n">
        <v>8.08</v>
      </c>
      <c r="I350" s="23" t="n">
        <v>18</v>
      </c>
      <c r="J350" s="49"/>
      <c r="K350" s="49"/>
      <c r="L350" s="33" t="n">
        <v>1.47</v>
      </c>
      <c r="M350" s="33" t="n">
        <v>8.08</v>
      </c>
      <c r="N350" s="23" t="n">
        <v>18.01</v>
      </c>
      <c r="O350" s="49"/>
      <c r="P350" s="49"/>
      <c r="Q350" s="33" t="n">
        <v>0.89</v>
      </c>
      <c r="R350" s="34" t="n">
        <v>8.05</v>
      </c>
      <c r="S350" s="23" t="n">
        <v>18.02</v>
      </c>
      <c r="T350" s="49"/>
      <c r="U350" s="49"/>
      <c r="V350" s="34" t="n">
        <v>0</v>
      </c>
      <c r="W350" s="33" t="n">
        <v>8</v>
      </c>
      <c r="X350" s="23" t="n">
        <v>18.2</v>
      </c>
      <c r="Y350" s="49"/>
      <c r="Z350" s="49"/>
      <c r="AA350" s="34" t="n">
        <v>0</v>
      </c>
      <c r="AB350" s="33" t="n">
        <v>8</v>
      </c>
      <c r="AC350" s="23" t="n">
        <v>18.5</v>
      </c>
      <c r="AD350" s="33" t="n">
        <v>54.6</v>
      </c>
      <c r="AE350" s="34" t="n">
        <f aca="false">0.65*AD350</f>
        <v>35.49</v>
      </c>
      <c r="AF350" s="33"/>
      <c r="AG350" s="34" t="n">
        <v>0</v>
      </c>
      <c r="AH350" s="45"/>
      <c r="AI350" s="33" t="n">
        <v>8</v>
      </c>
      <c r="AJ350" s="23" t="n">
        <v>18.4</v>
      </c>
      <c r="AK350" s="33" t="n">
        <v>54.6</v>
      </c>
      <c r="AL350" s="34" t="n">
        <f aca="false">0.65*AK350</f>
        <v>35.49</v>
      </c>
      <c r="AM350" s="33"/>
      <c r="AN350" s="34" t="n">
        <v>0</v>
      </c>
      <c r="AO350" s="2" t="n">
        <v>6.2</v>
      </c>
      <c r="AP350" s="23" t="s">
        <v>112</v>
      </c>
      <c r="AQ350" s="33" t="n">
        <v>234</v>
      </c>
      <c r="AR350" s="34" t="n">
        <f aca="false">AQ350*0.55</f>
        <v>128.7</v>
      </c>
      <c r="AS350" s="34" t="n">
        <v>0</v>
      </c>
      <c r="AT350" s="33" t="n">
        <v>7.93</v>
      </c>
      <c r="AU350" s="23" t="n">
        <v>19.5</v>
      </c>
      <c r="AV350" s="33" t="n">
        <v>333</v>
      </c>
      <c r="AW350" s="34" t="n">
        <f aca="false">AV350*0.55</f>
        <v>183.15</v>
      </c>
      <c r="AX350" s="34" t="n">
        <v>1</v>
      </c>
      <c r="AY350" s="34" t="n">
        <v>0.01</v>
      </c>
    </row>
    <row r="351" customFormat="false" ht="15" hidden="false" customHeight="false" outlineLevel="0" collapsed="false">
      <c r="A351" s="16" t="s">
        <v>113</v>
      </c>
      <c r="B351" s="2" t="s">
        <v>51</v>
      </c>
      <c r="C351" s="32" t="n">
        <v>8.06</v>
      </c>
      <c r="D351" s="23" t="n">
        <v>18.3</v>
      </c>
      <c r="E351" s="33" t="n">
        <v>54.5</v>
      </c>
      <c r="F351" s="34" t="n">
        <f aca="false">E351*0.65</f>
        <v>35.425</v>
      </c>
      <c r="G351" s="33" t="n">
        <v>0.67</v>
      </c>
      <c r="H351" s="33" t="n">
        <v>8.05</v>
      </c>
      <c r="I351" s="23" t="n">
        <v>18.2</v>
      </c>
      <c r="J351" s="49"/>
      <c r="K351" s="37"/>
      <c r="L351" s="33" t="n">
        <v>1.07</v>
      </c>
      <c r="M351" s="33" t="n">
        <v>8.05</v>
      </c>
      <c r="N351" s="23" t="n">
        <v>18.2</v>
      </c>
      <c r="O351" s="49"/>
      <c r="P351" s="37"/>
      <c r="Q351" s="33" t="n">
        <v>1.1</v>
      </c>
      <c r="R351" s="33" t="n">
        <v>8.03</v>
      </c>
      <c r="S351" s="23" t="n">
        <v>18</v>
      </c>
      <c r="T351" s="49"/>
      <c r="U351" s="37"/>
      <c r="V351" s="34" t="n">
        <v>0</v>
      </c>
      <c r="W351" s="33" t="n">
        <v>8.03</v>
      </c>
      <c r="X351" s="23" t="n">
        <v>18</v>
      </c>
      <c r="Y351" s="49"/>
      <c r="Z351" s="37"/>
      <c r="AA351" s="34" t="n">
        <v>0</v>
      </c>
      <c r="AB351" s="33" t="n">
        <v>8</v>
      </c>
      <c r="AC351" s="23" t="n">
        <v>17.9</v>
      </c>
      <c r="AD351" s="33" t="n">
        <v>54.4</v>
      </c>
      <c r="AE351" s="34" t="n">
        <f aca="false">AD351*0.65</f>
        <v>35.36</v>
      </c>
      <c r="AF351" s="33"/>
      <c r="AG351" s="34" t="n">
        <v>0</v>
      </c>
      <c r="AH351" s="33"/>
      <c r="AI351" s="33" t="n">
        <v>8</v>
      </c>
      <c r="AJ351" s="23" t="n">
        <v>17.5</v>
      </c>
      <c r="AK351" s="33" t="n">
        <v>54.4</v>
      </c>
      <c r="AL351" s="34" t="n">
        <f aca="false">AK351*0.65</f>
        <v>35.36</v>
      </c>
      <c r="AM351" s="33"/>
      <c r="AN351" s="34" t="n">
        <v>0</v>
      </c>
      <c r="AO351" s="2" t="n">
        <v>6.35</v>
      </c>
      <c r="AP351" s="23" t="n">
        <v>18.7</v>
      </c>
      <c r="AQ351" s="33" t="n">
        <v>219</v>
      </c>
      <c r="AR351" s="34" t="n">
        <f aca="false">AQ351*0.55</f>
        <v>120.45</v>
      </c>
      <c r="AS351" s="34" t="n">
        <v>0</v>
      </c>
      <c r="AT351" s="33" t="n">
        <v>7.96</v>
      </c>
      <c r="AU351" s="23" t="n">
        <v>18.8</v>
      </c>
      <c r="AV351" s="33" t="n">
        <v>356</v>
      </c>
      <c r="AW351" s="34" t="n">
        <f aca="false">AV351*0.6</f>
        <v>213.6</v>
      </c>
      <c r="AX351" s="53"/>
      <c r="AY351" s="34" t="n">
        <v>0</v>
      </c>
    </row>
    <row r="352" customFormat="false" ht="15" hidden="false" customHeight="false" outlineLevel="0" collapsed="false">
      <c r="A352" s="16" t="s">
        <v>113</v>
      </c>
      <c r="B352" s="2" t="s">
        <v>52</v>
      </c>
      <c r="C352" s="29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P352" s="21"/>
      <c r="AQ352" s="21"/>
      <c r="AR352" s="21"/>
      <c r="AS352" s="21"/>
      <c r="AT352" s="33" t="n">
        <v>8.07</v>
      </c>
      <c r="AU352" s="23" t="n">
        <v>19.1</v>
      </c>
      <c r="AV352" s="33" t="n">
        <v>371</v>
      </c>
      <c r="AW352" s="34" t="n">
        <f aca="false">AV352*0.6</f>
        <v>222.6</v>
      </c>
      <c r="AX352" s="34" t="n">
        <v>1</v>
      </c>
      <c r="AY352" s="34" t="n">
        <v>0.01</v>
      </c>
    </row>
    <row r="353" customFormat="false" ht="15" hidden="false" customHeight="false" outlineLevel="0" collapsed="false">
      <c r="A353" s="16" t="s">
        <v>113</v>
      </c>
      <c r="B353" s="2" t="s">
        <v>57</v>
      </c>
      <c r="C353" s="32" t="n">
        <v>8.2</v>
      </c>
      <c r="D353" s="23" t="n">
        <v>18.9</v>
      </c>
      <c r="E353" s="33" t="n">
        <v>54.7</v>
      </c>
      <c r="F353" s="34" t="n">
        <f aca="false">0.65*E353</f>
        <v>35.555</v>
      </c>
      <c r="G353" s="33" t="n">
        <v>0.23</v>
      </c>
      <c r="H353" s="33" t="n">
        <v>8.18</v>
      </c>
      <c r="I353" s="23" t="n">
        <v>19.3</v>
      </c>
      <c r="J353" s="49"/>
      <c r="K353" s="49"/>
      <c r="L353" s="33" t="n">
        <v>0.83</v>
      </c>
      <c r="M353" s="33" t="n">
        <v>8.18</v>
      </c>
      <c r="N353" s="23" t="n">
        <v>19.3</v>
      </c>
      <c r="O353" s="49"/>
      <c r="P353" s="49"/>
      <c r="Q353" s="33" t="n">
        <v>0.85</v>
      </c>
      <c r="R353" s="34" t="n">
        <v>8.12</v>
      </c>
      <c r="S353" s="19" t="n">
        <v>19.2</v>
      </c>
      <c r="T353" s="49"/>
      <c r="U353" s="49"/>
      <c r="V353" s="34" t="n">
        <v>0</v>
      </c>
      <c r="W353" s="33" t="n">
        <v>8.12</v>
      </c>
      <c r="X353" s="23" t="n">
        <v>19.2</v>
      </c>
      <c r="Y353" s="49"/>
      <c r="Z353" s="49"/>
      <c r="AA353" s="34" t="n">
        <v>0</v>
      </c>
      <c r="AB353" s="33" t="n">
        <v>8.15</v>
      </c>
      <c r="AC353" s="23" t="n">
        <v>18.4</v>
      </c>
      <c r="AD353" s="33" t="n">
        <v>54.6</v>
      </c>
      <c r="AE353" s="34" t="n">
        <f aca="false">0.65*AD353</f>
        <v>35.49</v>
      </c>
      <c r="AF353" s="33"/>
      <c r="AG353" s="34" t="n">
        <v>0</v>
      </c>
      <c r="AH353" s="21"/>
      <c r="AI353" s="33" t="n">
        <v>8.16</v>
      </c>
      <c r="AJ353" s="23" t="n">
        <v>18.1</v>
      </c>
      <c r="AK353" s="33" t="n">
        <v>54.6</v>
      </c>
      <c r="AL353" s="34" t="n">
        <f aca="false">0.65*AK353</f>
        <v>35.49</v>
      </c>
      <c r="AM353" s="33"/>
      <c r="AN353" s="34" t="n">
        <v>0</v>
      </c>
      <c r="AO353" s="2" t="n">
        <v>6.4</v>
      </c>
      <c r="AP353" s="23" t="n">
        <v>18.3</v>
      </c>
      <c r="AQ353" s="33" t="n">
        <v>245</v>
      </c>
      <c r="AR353" s="34" t="n">
        <f aca="false">AQ353*0.55</f>
        <v>134.75</v>
      </c>
      <c r="AS353" s="34" t="n">
        <v>0</v>
      </c>
      <c r="AT353" s="33" t="n">
        <v>8.62</v>
      </c>
      <c r="AU353" s="23" t="n">
        <v>18.8</v>
      </c>
      <c r="AV353" s="33" t="n">
        <v>358</v>
      </c>
      <c r="AW353" s="34" t="n">
        <f aca="false">AV353*0.55</f>
        <v>196.9</v>
      </c>
      <c r="AX353" s="34" t="n">
        <v>0.8</v>
      </c>
      <c r="AY353" s="45" t="n">
        <v>0.16</v>
      </c>
    </row>
    <row r="354" customFormat="false" ht="15" hidden="false" customHeight="false" outlineLevel="0" collapsed="false">
      <c r="A354" s="16" t="s">
        <v>114</v>
      </c>
      <c r="B354" s="2" t="s">
        <v>51</v>
      </c>
      <c r="C354" s="29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</row>
    <row r="355" customFormat="false" ht="15" hidden="false" customHeight="false" outlineLevel="0" collapsed="false">
      <c r="A355" s="16" t="s">
        <v>114</v>
      </c>
      <c r="B355" s="2" t="s">
        <v>52</v>
      </c>
      <c r="C355" s="29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</row>
    <row r="356" customFormat="false" ht="15" hidden="false" customHeight="false" outlineLevel="0" collapsed="false">
      <c r="A356" s="16" t="s">
        <v>114</v>
      </c>
      <c r="B356" s="2" t="s">
        <v>57</v>
      </c>
      <c r="C356" s="29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</row>
    <row r="357" customFormat="false" ht="15" hidden="false" customHeight="false" outlineLevel="0" collapsed="false">
      <c r="A357" s="16" t="n">
        <v>45296</v>
      </c>
      <c r="B357" s="2" t="s">
        <v>51</v>
      </c>
      <c r="C357" s="32" t="n">
        <v>8.19</v>
      </c>
      <c r="D357" s="23" t="n">
        <v>18.3</v>
      </c>
      <c r="E357" s="33" t="n">
        <v>54.7</v>
      </c>
      <c r="F357" s="34" t="n">
        <f aca="false">E357*0.65</f>
        <v>35.555</v>
      </c>
      <c r="G357" s="33" t="n">
        <v>0.33</v>
      </c>
      <c r="H357" s="33" t="n">
        <v>8.18</v>
      </c>
      <c r="I357" s="23" t="n">
        <v>18.7</v>
      </c>
      <c r="J357" s="49"/>
      <c r="K357" s="37"/>
      <c r="L357" s="33" t="n">
        <v>0.85</v>
      </c>
      <c r="M357" s="33" t="n">
        <v>8.18</v>
      </c>
      <c r="N357" s="23" t="n">
        <v>18.7</v>
      </c>
      <c r="O357" s="49"/>
      <c r="P357" s="37"/>
      <c r="Q357" s="33" t="n">
        <v>0.86</v>
      </c>
      <c r="R357" s="33" t="n">
        <v>8.12</v>
      </c>
      <c r="S357" s="23" t="n">
        <v>18.3</v>
      </c>
      <c r="T357" s="49"/>
      <c r="U357" s="37"/>
      <c r="V357" s="34" t="n">
        <v>0</v>
      </c>
      <c r="W357" s="33" t="n">
        <v>8.12</v>
      </c>
      <c r="X357" s="23" t="n">
        <v>18.3</v>
      </c>
      <c r="Y357" s="49"/>
      <c r="Z357" s="37"/>
      <c r="AA357" s="34" t="n">
        <v>0</v>
      </c>
      <c r="AB357" s="33" t="n">
        <v>8.15</v>
      </c>
      <c r="AC357" s="23" t="n">
        <v>19.7</v>
      </c>
      <c r="AD357" s="33" t="n">
        <v>54.5</v>
      </c>
      <c r="AE357" s="34" t="n">
        <f aca="false">AD357*0.65</f>
        <v>35.425</v>
      </c>
      <c r="AF357" s="33"/>
      <c r="AG357" s="34" t="n">
        <v>0</v>
      </c>
      <c r="AH357" s="33"/>
      <c r="AI357" s="33" t="n">
        <v>8.15</v>
      </c>
      <c r="AJ357" s="23" t="n">
        <v>19.7</v>
      </c>
      <c r="AK357" s="33" t="n">
        <v>54.5</v>
      </c>
      <c r="AL357" s="34" t="n">
        <f aca="false">AK357*0.65</f>
        <v>35.425</v>
      </c>
      <c r="AM357" s="33"/>
      <c r="AN357" s="34" t="n">
        <v>0</v>
      </c>
      <c r="AO357" s="2" t="n">
        <v>6.37</v>
      </c>
      <c r="AP357" s="23" t="n">
        <v>18.4</v>
      </c>
      <c r="AQ357" s="33" t="n">
        <v>229</v>
      </c>
      <c r="AR357" s="34" t="n">
        <f aca="false">AQ357*0.55</f>
        <v>125.95</v>
      </c>
      <c r="AS357" s="34" t="n">
        <v>0</v>
      </c>
      <c r="AT357" s="33" t="n">
        <v>8.49</v>
      </c>
      <c r="AU357" s="23" t="n">
        <v>19</v>
      </c>
      <c r="AV357" s="33" t="n">
        <v>358</v>
      </c>
      <c r="AW357" s="34" t="n">
        <f aca="false">AV357*0.55</f>
        <v>196.9</v>
      </c>
      <c r="AX357" s="34" t="n">
        <v>1</v>
      </c>
      <c r="AY357" s="34" t="n">
        <v>0</v>
      </c>
    </row>
    <row r="358" customFormat="false" ht="15" hidden="false" customHeight="false" outlineLevel="0" collapsed="false">
      <c r="A358" s="16" t="n">
        <v>45296</v>
      </c>
      <c r="B358" s="2" t="s">
        <v>52</v>
      </c>
      <c r="C358" s="29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P358" s="21"/>
      <c r="AQ358" s="21"/>
      <c r="AR358" s="21"/>
      <c r="AS358" s="21"/>
      <c r="AT358" s="33" t="n">
        <v>8.42</v>
      </c>
      <c r="AU358" s="23" t="n">
        <v>18.9</v>
      </c>
      <c r="AV358" s="33" t="n">
        <v>339</v>
      </c>
      <c r="AW358" s="34" t="n">
        <f aca="false">AV358*0.55</f>
        <v>186.45</v>
      </c>
      <c r="AX358" s="34" t="n">
        <v>1</v>
      </c>
      <c r="AY358" s="34" t="n">
        <v>0.39</v>
      </c>
    </row>
    <row r="359" customFormat="false" ht="15" hidden="false" customHeight="false" outlineLevel="0" collapsed="false">
      <c r="A359" s="16" t="n">
        <v>45296</v>
      </c>
      <c r="B359" s="2" t="s">
        <v>57</v>
      </c>
      <c r="C359" s="32" t="n">
        <v>8.17</v>
      </c>
      <c r="D359" s="23" t="n">
        <v>19.2</v>
      </c>
      <c r="E359" s="33" t="n">
        <v>54.5</v>
      </c>
      <c r="F359" s="34" t="n">
        <f aca="false">0.65*E359</f>
        <v>35.425</v>
      </c>
      <c r="G359" s="33" t="n">
        <v>0.47</v>
      </c>
      <c r="H359" s="33" t="n">
        <v>8.16</v>
      </c>
      <c r="I359" s="23" t="n">
        <v>19</v>
      </c>
      <c r="J359" s="49"/>
      <c r="K359" s="49"/>
      <c r="L359" s="33" t="n">
        <v>0.85</v>
      </c>
      <c r="M359" s="33" t="n">
        <v>8.16</v>
      </c>
      <c r="N359" s="23" t="n">
        <v>19</v>
      </c>
      <c r="O359" s="49"/>
      <c r="P359" s="49"/>
      <c r="Q359" s="33" t="n">
        <v>0.86</v>
      </c>
      <c r="R359" s="34" t="n">
        <v>8.12</v>
      </c>
      <c r="S359" s="19" t="n">
        <v>18.2</v>
      </c>
      <c r="T359" s="49"/>
      <c r="U359" s="49"/>
      <c r="V359" s="34" t="n">
        <v>0</v>
      </c>
      <c r="W359" s="33" t="n">
        <v>8.12</v>
      </c>
      <c r="X359" s="23" t="n">
        <v>18.2</v>
      </c>
      <c r="Y359" s="49"/>
      <c r="Z359" s="49"/>
      <c r="AA359" s="34" t="n">
        <v>0</v>
      </c>
      <c r="AB359" s="33" t="n">
        <v>8.13</v>
      </c>
      <c r="AC359" s="23" t="n">
        <v>18.8</v>
      </c>
      <c r="AD359" s="33" t="n">
        <v>54.4</v>
      </c>
      <c r="AE359" s="34" t="n">
        <f aca="false">0.65*AD359</f>
        <v>35.36</v>
      </c>
      <c r="AF359" s="33"/>
      <c r="AG359" s="34" t="n">
        <v>0</v>
      </c>
      <c r="AH359" s="45"/>
      <c r="AI359" s="33" t="n">
        <v>8.13</v>
      </c>
      <c r="AJ359" s="23" t="n">
        <v>18.8</v>
      </c>
      <c r="AK359" s="33" t="n">
        <v>54.4</v>
      </c>
      <c r="AL359" s="34" t="n">
        <f aca="false">AK360*0.55</f>
        <v>30.085</v>
      </c>
      <c r="AM359" s="33"/>
      <c r="AN359" s="34" t="n">
        <v>0</v>
      </c>
      <c r="AO359" s="2" t="n">
        <v>6.44</v>
      </c>
      <c r="AP359" s="23" t="n">
        <v>18.8</v>
      </c>
      <c r="AQ359" s="33" t="n">
        <v>268.5</v>
      </c>
      <c r="AR359" s="34" t="n">
        <f aca="false">AQ360*0.55</f>
        <v>125.95</v>
      </c>
      <c r="AS359" s="34" t="n">
        <v>0</v>
      </c>
      <c r="AT359" s="33" t="n">
        <v>8.33</v>
      </c>
      <c r="AU359" s="23" t="n">
        <v>19.7</v>
      </c>
      <c r="AV359" s="33" t="n">
        <v>356</v>
      </c>
      <c r="AW359" s="54"/>
      <c r="AX359" s="34" t="n">
        <v>1</v>
      </c>
      <c r="AY359" s="45" t="n">
        <v>0.39</v>
      </c>
    </row>
    <row r="360" customFormat="false" ht="15" hidden="false" customHeight="false" outlineLevel="0" collapsed="false">
      <c r="A360" s="16" t="n">
        <v>45327</v>
      </c>
      <c r="B360" s="2" t="s">
        <v>51</v>
      </c>
      <c r="C360" s="32" t="n">
        <v>8.12</v>
      </c>
      <c r="D360" s="23" t="n">
        <v>17.9</v>
      </c>
      <c r="E360" s="33" t="n">
        <v>54.8</v>
      </c>
      <c r="F360" s="34" t="n">
        <f aca="false">E360*0.65</f>
        <v>35.62</v>
      </c>
      <c r="G360" s="33" t="n">
        <v>0.6</v>
      </c>
      <c r="H360" s="33" t="n">
        <v>8.11</v>
      </c>
      <c r="I360" s="23" t="n">
        <v>17.7</v>
      </c>
      <c r="J360" s="49"/>
      <c r="K360" s="37"/>
      <c r="L360" s="33" t="n">
        <v>0.82</v>
      </c>
      <c r="M360" s="33" t="n">
        <v>8.12</v>
      </c>
      <c r="N360" s="23" t="n">
        <v>17.7</v>
      </c>
      <c r="O360" s="49"/>
      <c r="P360" s="37"/>
      <c r="Q360" s="33" t="n">
        <v>0.93</v>
      </c>
      <c r="R360" s="33" t="n">
        <v>8.1</v>
      </c>
      <c r="S360" s="23" t="n">
        <v>17.6</v>
      </c>
      <c r="T360" s="49"/>
      <c r="U360" s="37"/>
      <c r="V360" s="34" t="n">
        <v>0</v>
      </c>
      <c r="W360" s="33" t="n">
        <v>8.1</v>
      </c>
      <c r="X360" s="23" t="n">
        <v>17.6</v>
      </c>
      <c r="Y360" s="49"/>
      <c r="Z360" s="37"/>
      <c r="AA360" s="34" t="n">
        <v>0</v>
      </c>
      <c r="AB360" s="33" t="n">
        <v>8.07</v>
      </c>
      <c r="AC360" s="23" t="n">
        <v>17.6</v>
      </c>
      <c r="AD360" s="33" t="n">
        <v>54.7</v>
      </c>
      <c r="AE360" s="34" t="n">
        <f aca="false">AD360*0.65</f>
        <v>35.555</v>
      </c>
      <c r="AF360" s="33"/>
      <c r="AG360" s="34" t="n">
        <v>0</v>
      </c>
      <c r="AH360" s="33"/>
      <c r="AI360" s="33" t="n">
        <v>8.07</v>
      </c>
      <c r="AJ360" s="23" t="n">
        <v>17.6</v>
      </c>
      <c r="AK360" s="33" t="n">
        <v>54.7</v>
      </c>
      <c r="AL360" s="34" t="n">
        <f aca="false">AK360*0.65</f>
        <v>35.555</v>
      </c>
      <c r="AM360" s="33"/>
      <c r="AN360" s="34" t="n">
        <v>0</v>
      </c>
      <c r="AO360" s="2" t="n">
        <v>6.35</v>
      </c>
      <c r="AP360" s="23" t="n">
        <v>18.7</v>
      </c>
      <c r="AQ360" s="33" t="n">
        <v>229</v>
      </c>
      <c r="AR360" s="34" t="n">
        <f aca="false">AQ360*0.55</f>
        <v>125.95</v>
      </c>
      <c r="AS360" s="34" t="n">
        <v>0</v>
      </c>
      <c r="AT360" s="33" t="n">
        <v>8.38</v>
      </c>
      <c r="AU360" s="23" t="n">
        <v>18.8</v>
      </c>
      <c r="AV360" s="33" t="n">
        <v>351.5</v>
      </c>
      <c r="AW360" s="34" t="n">
        <f aca="false">AV360*0.55</f>
        <v>193.325</v>
      </c>
      <c r="AX360" s="34" t="n">
        <v>0.8</v>
      </c>
      <c r="AY360" s="34" t="n">
        <v>0.18</v>
      </c>
    </row>
    <row r="361" customFormat="false" ht="15" hidden="false" customHeight="false" outlineLevel="0" collapsed="false">
      <c r="A361" s="16" t="n">
        <v>45327</v>
      </c>
      <c r="B361" s="2" t="s">
        <v>52</v>
      </c>
      <c r="C361" s="29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P361" s="21"/>
      <c r="AQ361" s="21"/>
      <c r="AR361" s="21"/>
      <c r="AS361" s="21"/>
      <c r="AT361" s="33" t="n">
        <v>8.36</v>
      </c>
      <c r="AU361" s="23" t="n">
        <v>18.9</v>
      </c>
      <c r="AV361" s="33" t="n">
        <v>350.1</v>
      </c>
      <c r="AW361" s="34" t="n">
        <f aca="false">AV361*0.55</f>
        <v>192.555</v>
      </c>
      <c r="AX361" s="34" t="n">
        <v>1</v>
      </c>
      <c r="AY361" s="34" t="n">
        <v>0.54</v>
      </c>
    </row>
    <row r="362" customFormat="false" ht="15" hidden="false" customHeight="false" outlineLevel="0" collapsed="false">
      <c r="A362" s="16" t="n">
        <v>45327</v>
      </c>
      <c r="B362" s="2" t="s">
        <v>57</v>
      </c>
      <c r="C362" s="32" t="n">
        <v>8.13</v>
      </c>
      <c r="D362" s="23" t="n">
        <v>18.5</v>
      </c>
      <c r="E362" s="33" t="n">
        <v>54.7</v>
      </c>
      <c r="F362" s="34" t="n">
        <f aca="false">0.65*E362</f>
        <v>35.555</v>
      </c>
      <c r="G362" s="33" t="n">
        <v>0.77</v>
      </c>
      <c r="H362" s="33" t="n">
        <v>8.12</v>
      </c>
      <c r="I362" s="23" t="n">
        <v>18.5</v>
      </c>
      <c r="J362" s="49"/>
      <c r="K362" s="49"/>
      <c r="L362" s="33" t="n">
        <v>0.63</v>
      </c>
      <c r="M362" s="33" t="n">
        <v>8.12</v>
      </c>
      <c r="N362" s="23" t="n">
        <v>18.3</v>
      </c>
      <c r="O362" s="49"/>
      <c r="P362" s="49"/>
      <c r="Q362" s="33" t="n">
        <v>0.67</v>
      </c>
      <c r="R362" s="34" t="n">
        <v>8.12</v>
      </c>
      <c r="S362" s="19" t="n">
        <v>18.3</v>
      </c>
      <c r="T362" s="49"/>
      <c r="U362" s="49"/>
      <c r="V362" s="34" t="n">
        <v>0</v>
      </c>
      <c r="W362" s="33" t="n">
        <v>8.12</v>
      </c>
      <c r="X362" s="23" t="n">
        <v>18.3</v>
      </c>
      <c r="Y362" s="49"/>
      <c r="Z362" s="49"/>
      <c r="AA362" s="34" t="n">
        <v>0</v>
      </c>
      <c r="AB362" s="33" t="n">
        <v>8.11</v>
      </c>
      <c r="AC362" s="23" t="n">
        <v>18.3</v>
      </c>
      <c r="AD362" s="33" t="n">
        <v>54.5</v>
      </c>
      <c r="AE362" s="34" t="n">
        <f aca="false">0.65*AD362</f>
        <v>35.425</v>
      </c>
      <c r="AF362" s="33"/>
      <c r="AG362" s="34" t="n">
        <v>0</v>
      </c>
      <c r="AH362" s="45"/>
      <c r="AI362" s="33" t="n">
        <v>8.11</v>
      </c>
      <c r="AJ362" s="23" t="n">
        <v>18</v>
      </c>
      <c r="AK362" s="33" t="n">
        <v>54.5</v>
      </c>
      <c r="AL362" s="34" t="n">
        <f aca="false">AK363*0.55</f>
        <v>30.085</v>
      </c>
      <c r="AM362" s="33"/>
      <c r="AN362" s="34" t="n">
        <v>0</v>
      </c>
      <c r="AO362" s="2" t="n">
        <v>6.29</v>
      </c>
      <c r="AP362" s="23" t="n">
        <v>18.6</v>
      </c>
      <c r="AQ362" s="33" t="n">
        <v>217</v>
      </c>
      <c r="AR362" s="34" t="n">
        <f aca="false">AQ363*0.55</f>
        <v>125.95</v>
      </c>
      <c r="AS362" s="34" t="n">
        <v>0</v>
      </c>
      <c r="AT362" s="33" t="n">
        <v>8.18</v>
      </c>
      <c r="AU362" s="23" t="n">
        <v>18.6</v>
      </c>
      <c r="AV362" s="33" t="n">
        <v>353.1</v>
      </c>
      <c r="AW362" s="54"/>
      <c r="AX362" s="34" t="n">
        <v>1</v>
      </c>
      <c r="AY362" s="45" t="n">
        <v>0.22</v>
      </c>
    </row>
    <row r="363" customFormat="false" ht="15" hidden="false" customHeight="false" outlineLevel="0" collapsed="false">
      <c r="A363" s="16" t="n">
        <v>45356</v>
      </c>
      <c r="B363" s="2" t="s">
        <v>51</v>
      </c>
      <c r="C363" s="32" t="n">
        <v>8.11</v>
      </c>
      <c r="D363" s="23" t="n">
        <v>18</v>
      </c>
      <c r="E363" s="33" t="n">
        <v>54.8</v>
      </c>
      <c r="F363" s="34" t="n">
        <f aca="false">E363*0.65</f>
        <v>35.62</v>
      </c>
      <c r="G363" s="33" t="n">
        <v>0.65</v>
      </c>
      <c r="H363" s="33" t="n">
        <v>8.1</v>
      </c>
      <c r="I363" s="23" t="n">
        <v>17.7</v>
      </c>
      <c r="J363" s="49"/>
      <c r="K363" s="37"/>
      <c r="L363" s="33" t="n">
        <v>0.82</v>
      </c>
      <c r="M363" s="33" t="n">
        <v>8.1</v>
      </c>
      <c r="N363" s="23" t="n">
        <v>17.7</v>
      </c>
      <c r="O363" s="49"/>
      <c r="P363" s="37"/>
      <c r="Q363" s="33" t="n">
        <v>0.93</v>
      </c>
      <c r="R363" s="33" t="n">
        <v>8.09</v>
      </c>
      <c r="S363" s="23" t="n">
        <v>17.6</v>
      </c>
      <c r="T363" s="49"/>
      <c r="U363" s="37"/>
      <c r="V363" s="34" t="n">
        <v>0</v>
      </c>
      <c r="W363" s="33" t="n">
        <v>8.09</v>
      </c>
      <c r="X363" s="23" t="n">
        <v>17.6</v>
      </c>
      <c r="Y363" s="49"/>
      <c r="Z363" s="37"/>
      <c r="AA363" s="34" t="n">
        <v>0</v>
      </c>
      <c r="AB363" s="33" t="n">
        <v>8.07</v>
      </c>
      <c r="AC363" s="23" t="n">
        <v>17.6</v>
      </c>
      <c r="AD363" s="33" t="n">
        <v>54.7</v>
      </c>
      <c r="AE363" s="34" t="n">
        <f aca="false">AD363*0.65</f>
        <v>35.555</v>
      </c>
      <c r="AF363" s="33"/>
      <c r="AG363" s="34" t="n">
        <v>0</v>
      </c>
      <c r="AH363" s="33"/>
      <c r="AI363" s="33" t="n">
        <v>8.07</v>
      </c>
      <c r="AJ363" s="23" t="n">
        <v>17.6</v>
      </c>
      <c r="AK363" s="33" t="n">
        <v>54.7</v>
      </c>
      <c r="AL363" s="34" t="n">
        <f aca="false">AK363*0.65</f>
        <v>35.555</v>
      </c>
      <c r="AM363" s="33"/>
      <c r="AN363" s="34" t="n">
        <v>0</v>
      </c>
      <c r="AO363" s="2" t="n">
        <v>6.35</v>
      </c>
      <c r="AP363" s="23" t="n">
        <v>18.7</v>
      </c>
      <c r="AQ363" s="33" t="n">
        <v>229</v>
      </c>
      <c r="AR363" s="34" t="n">
        <f aca="false">AQ363*0.55</f>
        <v>125.95</v>
      </c>
      <c r="AS363" s="34" t="n">
        <v>0</v>
      </c>
      <c r="AT363" s="33" t="n">
        <v>8.38</v>
      </c>
      <c r="AU363" s="23" t="n">
        <v>18.8</v>
      </c>
      <c r="AV363" s="33" t="n">
        <v>351.5</v>
      </c>
      <c r="AW363" s="34" t="n">
        <f aca="false">AV363*0.55</f>
        <v>193.325</v>
      </c>
      <c r="AX363" s="34" t="n">
        <v>0.8</v>
      </c>
      <c r="AY363" s="34" t="n">
        <v>0.18</v>
      </c>
    </row>
    <row r="364" customFormat="false" ht="15" hidden="false" customHeight="false" outlineLevel="0" collapsed="false">
      <c r="A364" s="16" t="n">
        <v>45356</v>
      </c>
      <c r="B364" s="2" t="s">
        <v>52</v>
      </c>
      <c r="C364" s="29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P364" s="21"/>
      <c r="AQ364" s="21"/>
      <c r="AR364" s="21"/>
      <c r="AS364" s="21"/>
      <c r="AT364" s="33" t="n">
        <v>8.36</v>
      </c>
      <c r="AU364" s="23" t="n">
        <v>19.2</v>
      </c>
      <c r="AV364" s="33" t="n">
        <v>354</v>
      </c>
      <c r="AW364" s="34" t="n">
        <f aca="false">AV364*0.55</f>
        <v>194.7</v>
      </c>
      <c r="AX364" s="34" t="n">
        <v>1</v>
      </c>
      <c r="AY364" s="34" t="n">
        <v>0.05</v>
      </c>
    </row>
    <row r="365" customFormat="false" ht="15" hidden="false" customHeight="false" outlineLevel="0" collapsed="false">
      <c r="A365" s="16" t="n">
        <v>45356</v>
      </c>
      <c r="B365" s="2" t="s">
        <v>57</v>
      </c>
      <c r="C365" s="32" t="n">
        <v>8.13</v>
      </c>
      <c r="D365" s="23" t="n">
        <v>18.5</v>
      </c>
      <c r="E365" s="33" t="n">
        <v>54.7</v>
      </c>
      <c r="F365" s="34" t="n">
        <f aca="false">0.65*E365</f>
        <v>35.555</v>
      </c>
      <c r="G365" s="33" t="n">
        <v>0.88</v>
      </c>
      <c r="H365" s="33" t="n">
        <v>8.12</v>
      </c>
      <c r="I365" s="23" t="n">
        <v>18.5</v>
      </c>
      <c r="J365" s="49"/>
      <c r="K365" s="49"/>
      <c r="L365" s="33" t="n">
        <v>0.77</v>
      </c>
      <c r="M365" s="33" t="n">
        <v>8.12</v>
      </c>
      <c r="N365" s="23" t="n">
        <v>18.3</v>
      </c>
      <c r="O365" s="49"/>
      <c r="P365" s="49"/>
      <c r="Q365" s="33" t="n">
        <v>0.72</v>
      </c>
      <c r="R365" s="34" t="n">
        <v>8.12</v>
      </c>
      <c r="S365" s="19" t="n">
        <v>18.3</v>
      </c>
      <c r="T365" s="49"/>
      <c r="U365" s="49"/>
      <c r="V365" s="34" t="n">
        <v>0</v>
      </c>
      <c r="W365" s="33" t="n">
        <v>8.12</v>
      </c>
      <c r="X365" s="23" t="n">
        <v>18.3</v>
      </c>
      <c r="Y365" s="49"/>
      <c r="Z365" s="49"/>
      <c r="AA365" s="34" t="n">
        <v>0</v>
      </c>
      <c r="AB365" s="33" t="n">
        <v>8.11</v>
      </c>
      <c r="AC365" s="23" t="n">
        <v>18.3</v>
      </c>
      <c r="AD365" s="33" t="n">
        <v>54.5</v>
      </c>
      <c r="AE365" s="34" t="n">
        <f aca="false">0.65*AD365</f>
        <v>35.425</v>
      </c>
      <c r="AF365" s="33"/>
      <c r="AG365" s="34" t="n">
        <v>0</v>
      </c>
      <c r="AH365" s="45"/>
      <c r="AI365" s="33" t="n">
        <v>8.11</v>
      </c>
      <c r="AJ365" s="23" t="n">
        <v>18</v>
      </c>
      <c r="AK365" s="33" t="n">
        <v>54.5</v>
      </c>
      <c r="AL365" s="34" t="n">
        <f aca="false">AK366*0.55</f>
        <v>30.25</v>
      </c>
      <c r="AM365" s="33"/>
      <c r="AN365" s="34" t="n">
        <v>0</v>
      </c>
      <c r="AO365" s="2" t="n">
        <v>6.29</v>
      </c>
      <c r="AP365" s="23" t="n">
        <v>18.6</v>
      </c>
      <c r="AQ365" s="33" t="n">
        <v>217</v>
      </c>
      <c r="AR365" s="34" t="n">
        <f aca="false">AQ366*0.55</f>
        <v>129.25</v>
      </c>
      <c r="AS365" s="34" t="n">
        <v>0</v>
      </c>
      <c r="AT365" s="33" t="n">
        <v>8.31</v>
      </c>
      <c r="AU365" s="23" t="n">
        <v>19</v>
      </c>
      <c r="AV365" s="33" t="n">
        <v>353.1</v>
      </c>
      <c r="AW365" s="54"/>
      <c r="AX365" s="34" t="n">
        <v>1</v>
      </c>
      <c r="AY365" s="45" t="n">
        <v>0.19</v>
      </c>
    </row>
    <row r="366" customFormat="false" ht="15" hidden="false" customHeight="false" outlineLevel="0" collapsed="false">
      <c r="A366" s="16" t="n">
        <v>45387</v>
      </c>
      <c r="B366" s="2" t="s">
        <v>51</v>
      </c>
      <c r="C366" s="32" t="n">
        <v>8.13</v>
      </c>
      <c r="D366" s="23" t="n">
        <v>19.6</v>
      </c>
      <c r="E366" s="33" t="n">
        <v>55.1</v>
      </c>
      <c r="F366" s="34" t="n">
        <f aca="false">E366*0.65</f>
        <v>35.815</v>
      </c>
      <c r="G366" s="33" t="n">
        <v>0.34</v>
      </c>
      <c r="H366" s="33" t="n">
        <v>8.12</v>
      </c>
      <c r="I366" s="23" t="n">
        <v>19.3</v>
      </c>
      <c r="J366" s="49"/>
      <c r="K366" s="37"/>
      <c r="L366" s="33" t="n">
        <v>0.82</v>
      </c>
      <c r="M366" s="33" t="n">
        <v>8.12</v>
      </c>
      <c r="N366" s="23" t="n">
        <v>19.3</v>
      </c>
      <c r="O366" s="49"/>
      <c r="P366" s="37"/>
      <c r="Q366" s="33" t="n">
        <v>0.85</v>
      </c>
      <c r="R366" s="33" t="n">
        <v>8.1</v>
      </c>
      <c r="S366" s="23" t="n">
        <v>18.2</v>
      </c>
      <c r="T366" s="49"/>
      <c r="U366" s="37"/>
      <c r="V366" s="34" t="n">
        <v>0</v>
      </c>
      <c r="W366" s="33" t="n">
        <v>8.12</v>
      </c>
      <c r="X366" s="23" t="n">
        <v>18.2</v>
      </c>
      <c r="Y366" s="49"/>
      <c r="Z366" s="37"/>
      <c r="AA366" s="34" t="n">
        <v>0</v>
      </c>
      <c r="AB366" s="33" t="n">
        <v>8.09</v>
      </c>
      <c r="AC366" s="23" t="n">
        <v>18.6</v>
      </c>
      <c r="AD366" s="33" t="n">
        <v>55</v>
      </c>
      <c r="AE366" s="34" t="n">
        <f aca="false">AD366*0.65</f>
        <v>35.75</v>
      </c>
      <c r="AF366" s="33" t="n">
        <v>0.02</v>
      </c>
      <c r="AG366" s="34" t="n">
        <v>0</v>
      </c>
      <c r="AH366" s="33"/>
      <c r="AI366" s="33" t="n">
        <v>8.09</v>
      </c>
      <c r="AJ366" s="23" t="n">
        <v>18.6</v>
      </c>
      <c r="AK366" s="33" t="n">
        <v>55</v>
      </c>
      <c r="AL366" s="34" t="n">
        <f aca="false">AK366*0.65</f>
        <v>35.75</v>
      </c>
      <c r="AM366" s="33" t="n">
        <v>0.02</v>
      </c>
      <c r="AN366" s="34" t="n">
        <v>0</v>
      </c>
      <c r="AO366" s="2" t="n">
        <v>6.37</v>
      </c>
      <c r="AP366" s="23" t="n">
        <v>18.7</v>
      </c>
      <c r="AQ366" s="33" t="n">
        <v>235</v>
      </c>
      <c r="AR366" s="34" t="n">
        <f aca="false">AQ366*0.55</f>
        <v>129.25</v>
      </c>
      <c r="AS366" s="34" t="n">
        <v>0</v>
      </c>
      <c r="AT366" s="33" t="n">
        <v>8.22</v>
      </c>
      <c r="AU366" s="23" t="n">
        <v>19.2</v>
      </c>
      <c r="AV366" s="33" t="n">
        <v>351.7</v>
      </c>
      <c r="AW366" s="34" t="n">
        <f aca="false">AV366*0.55</f>
        <v>193.435</v>
      </c>
      <c r="AX366" s="34" t="n">
        <v>1</v>
      </c>
      <c r="AY366" s="34" t="n">
        <v>0.19</v>
      </c>
    </row>
    <row r="367" customFormat="false" ht="15" hidden="false" customHeight="false" outlineLevel="0" collapsed="false">
      <c r="A367" s="16" t="n">
        <v>45387</v>
      </c>
      <c r="B367" s="2" t="s">
        <v>52</v>
      </c>
      <c r="C367" s="29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P367" s="21"/>
      <c r="AQ367" s="21"/>
      <c r="AR367" s="21"/>
      <c r="AS367" s="21"/>
      <c r="AT367" s="33" t="n">
        <v>8.33</v>
      </c>
      <c r="AU367" s="23" t="n">
        <v>19.2</v>
      </c>
      <c r="AV367" s="33" t="n">
        <v>351.6</v>
      </c>
      <c r="AW367" s="34" t="n">
        <f aca="false">AV367*0.55</f>
        <v>193.38</v>
      </c>
      <c r="AX367" s="34" t="n">
        <v>0.8</v>
      </c>
      <c r="AY367" s="34" t="n">
        <v>0.24</v>
      </c>
    </row>
    <row r="368" customFormat="false" ht="15" hidden="false" customHeight="false" outlineLevel="0" collapsed="false">
      <c r="A368" s="16" t="n">
        <v>45387</v>
      </c>
      <c r="B368" s="2" t="s">
        <v>57</v>
      </c>
      <c r="C368" s="32" t="n">
        <v>8.13</v>
      </c>
      <c r="D368" s="23" t="n">
        <v>19.8</v>
      </c>
      <c r="E368" s="33" t="n">
        <v>54.3</v>
      </c>
      <c r="F368" s="34" t="n">
        <f aca="false">0.65*E368</f>
        <v>35.295</v>
      </c>
      <c r="G368" s="33" t="n">
        <v>0.11</v>
      </c>
      <c r="H368" s="33" t="n">
        <v>8.12</v>
      </c>
      <c r="I368" s="23" t="n">
        <v>19.6</v>
      </c>
      <c r="J368" s="49"/>
      <c r="K368" s="49"/>
      <c r="L368" s="33" t="n">
        <v>1.13</v>
      </c>
      <c r="M368" s="33" t="n">
        <v>8.12</v>
      </c>
      <c r="N368" s="23" t="n">
        <v>19.6</v>
      </c>
      <c r="O368" s="49"/>
      <c r="P368" s="49"/>
      <c r="Q368" s="33" t="n">
        <v>1</v>
      </c>
      <c r="R368" s="34" t="n">
        <v>8.1</v>
      </c>
      <c r="S368" s="19" t="n">
        <v>19.7</v>
      </c>
      <c r="T368" s="49"/>
      <c r="U368" s="49"/>
      <c r="V368" s="34" t="n">
        <v>0</v>
      </c>
      <c r="W368" s="33" t="n">
        <v>8.1</v>
      </c>
      <c r="X368" s="23" t="n">
        <v>19.7</v>
      </c>
      <c r="Y368" s="49"/>
      <c r="Z368" s="49"/>
      <c r="AA368" s="34" t="n">
        <v>0</v>
      </c>
      <c r="AB368" s="33" t="n">
        <v>8.08</v>
      </c>
      <c r="AC368" s="23" t="n">
        <v>19</v>
      </c>
      <c r="AD368" s="33" t="n">
        <v>54.3</v>
      </c>
      <c r="AE368" s="34" t="n">
        <f aca="false">0.65*AD368</f>
        <v>35.295</v>
      </c>
      <c r="AF368" s="33"/>
      <c r="AG368" s="34" t="n">
        <v>0</v>
      </c>
      <c r="AH368" s="45"/>
      <c r="AI368" s="33" t="n">
        <v>8.08</v>
      </c>
      <c r="AJ368" s="23" t="n">
        <v>19</v>
      </c>
      <c r="AK368" s="33" t="n">
        <v>54.3</v>
      </c>
      <c r="AL368" s="34" t="n">
        <f aca="false">AK369*0.55</f>
        <v>30.03</v>
      </c>
      <c r="AM368" s="33"/>
      <c r="AN368" s="34" t="n">
        <v>0</v>
      </c>
      <c r="AO368" s="2" t="n">
        <v>6.37</v>
      </c>
      <c r="AP368" s="23" t="n">
        <v>18.7</v>
      </c>
      <c r="AQ368" s="33" t="n">
        <v>239</v>
      </c>
      <c r="AR368" s="34" t="n">
        <f aca="false">AQ369*0.55</f>
        <v>152.9</v>
      </c>
      <c r="AS368" s="34" t="n">
        <v>0</v>
      </c>
      <c r="AT368" s="33" t="n">
        <v>8.29</v>
      </c>
      <c r="AU368" s="23" t="n">
        <v>20.3</v>
      </c>
      <c r="AV368" s="33" t="n">
        <v>362.7</v>
      </c>
      <c r="AW368" s="54"/>
      <c r="AX368" s="34" t="n">
        <v>1</v>
      </c>
      <c r="AY368" s="55" t="n">
        <v>0.21</v>
      </c>
    </row>
    <row r="369" customFormat="false" ht="15" hidden="false" customHeight="false" outlineLevel="0" collapsed="false">
      <c r="A369" s="16" t="n">
        <v>45417</v>
      </c>
      <c r="B369" s="2" t="s">
        <v>51</v>
      </c>
      <c r="C369" s="32" t="n">
        <v>8.1</v>
      </c>
      <c r="D369" s="23" t="n">
        <v>19.5</v>
      </c>
      <c r="E369" s="33" t="n">
        <v>54.6</v>
      </c>
      <c r="F369" s="34" t="n">
        <f aca="false">E369*0.65</f>
        <v>35.49</v>
      </c>
      <c r="G369" s="33" t="n">
        <v>0.12</v>
      </c>
      <c r="H369" s="33" t="n">
        <v>8.07</v>
      </c>
      <c r="I369" s="23" t="n">
        <v>18.3</v>
      </c>
      <c r="J369" s="49"/>
      <c r="K369" s="37"/>
      <c r="L369" s="33" t="n">
        <v>1.01</v>
      </c>
      <c r="M369" s="33" t="n">
        <v>8.07</v>
      </c>
      <c r="N369" s="23" t="n">
        <v>18.2</v>
      </c>
      <c r="O369" s="49"/>
      <c r="P369" s="37"/>
      <c r="Q369" s="33" t="n">
        <v>0.65</v>
      </c>
      <c r="R369" s="33" t="n">
        <v>8.03</v>
      </c>
      <c r="S369" s="23" t="n">
        <v>18.4</v>
      </c>
      <c r="T369" s="49"/>
      <c r="U369" s="37"/>
      <c r="V369" s="34" t="n">
        <v>0.04</v>
      </c>
      <c r="W369" s="33" t="n">
        <v>8.04</v>
      </c>
      <c r="X369" s="23" t="n">
        <v>18.3</v>
      </c>
      <c r="Y369" s="49"/>
      <c r="Z369" s="37"/>
      <c r="AA369" s="34" t="n">
        <v>0.06</v>
      </c>
      <c r="AB369" s="33" t="n">
        <v>8</v>
      </c>
      <c r="AC369" s="23" t="n">
        <v>18.7</v>
      </c>
      <c r="AD369" s="33" t="n">
        <v>54.6</v>
      </c>
      <c r="AE369" s="34" t="n">
        <f aca="false">AD369*0.65</f>
        <v>35.49</v>
      </c>
      <c r="AF369" s="33"/>
      <c r="AG369" s="34" t="n">
        <v>0.02</v>
      </c>
      <c r="AH369" s="33"/>
      <c r="AI369" s="33" t="n">
        <v>8</v>
      </c>
      <c r="AJ369" s="23" t="n">
        <v>18.7</v>
      </c>
      <c r="AK369" s="33" t="n">
        <v>54.6</v>
      </c>
      <c r="AL369" s="34" t="n">
        <f aca="false">AK369*0.65</f>
        <v>35.49</v>
      </c>
      <c r="AM369" s="33"/>
      <c r="AN369" s="34" t="n">
        <v>0.02</v>
      </c>
      <c r="AO369" s="2" t="n">
        <v>6.37</v>
      </c>
      <c r="AP369" s="23" t="n">
        <v>19</v>
      </c>
      <c r="AQ369" s="33" t="n">
        <v>278</v>
      </c>
      <c r="AR369" s="34" t="n">
        <f aca="false">AQ369*0.55</f>
        <v>152.9</v>
      </c>
      <c r="AS369" s="34" t="n">
        <v>0.01</v>
      </c>
      <c r="AT369" s="33" t="n">
        <v>8.17</v>
      </c>
      <c r="AU369" s="23" t="n">
        <v>19.5</v>
      </c>
      <c r="AV369" s="33" t="n">
        <v>574</v>
      </c>
      <c r="AW369" s="34" t="n">
        <f aca="false">AV369*0.55</f>
        <v>315.7</v>
      </c>
      <c r="AX369" s="34" t="n">
        <v>0.8</v>
      </c>
      <c r="AY369" s="34" t="n">
        <v>0.17</v>
      </c>
    </row>
    <row r="370" customFormat="false" ht="15" hidden="false" customHeight="false" outlineLevel="0" collapsed="false">
      <c r="A370" s="16" t="n">
        <v>45417</v>
      </c>
      <c r="B370" s="2" t="s">
        <v>52</v>
      </c>
      <c r="C370" s="29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P370" s="21"/>
      <c r="AQ370" s="21"/>
      <c r="AR370" s="21"/>
      <c r="AS370" s="21"/>
      <c r="AT370" s="33" t="n">
        <v>8.22</v>
      </c>
      <c r="AU370" s="23" t="n">
        <v>20.5</v>
      </c>
      <c r="AV370" s="33" t="n">
        <v>461</v>
      </c>
      <c r="AW370" s="34" t="n">
        <f aca="false">AV370*0.55</f>
        <v>253.55</v>
      </c>
      <c r="AX370" s="34" t="n">
        <v>0.8</v>
      </c>
      <c r="AY370" s="34" t="n">
        <v>0.15</v>
      </c>
    </row>
    <row r="371" customFormat="false" ht="15" hidden="false" customHeight="false" outlineLevel="0" collapsed="false">
      <c r="A371" s="16" t="n">
        <v>45417</v>
      </c>
      <c r="B371" s="2" t="s">
        <v>57</v>
      </c>
      <c r="C371" s="32" t="n">
        <v>8.12</v>
      </c>
      <c r="D371" s="23" t="n">
        <v>19.2</v>
      </c>
      <c r="E371" s="33" t="n">
        <v>54.4</v>
      </c>
      <c r="F371" s="34" t="n">
        <f aca="false">0.65*E371</f>
        <v>35.36</v>
      </c>
      <c r="G371" s="33" t="n">
        <v>0.15</v>
      </c>
      <c r="H371" s="33" t="n">
        <v>8.08</v>
      </c>
      <c r="I371" s="23" t="n">
        <v>18.9</v>
      </c>
      <c r="J371" s="49"/>
      <c r="K371" s="49"/>
      <c r="L371" s="33" t="n">
        <v>0.38</v>
      </c>
      <c r="M371" s="33" t="n">
        <v>8.08</v>
      </c>
      <c r="N371" s="23" t="n">
        <v>18.9</v>
      </c>
      <c r="O371" s="49"/>
      <c r="P371" s="49"/>
      <c r="Q371" s="33" t="n">
        <v>0.28</v>
      </c>
      <c r="R371" s="34" t="n">
        <v>8.05</v>
      </c>
      <c r="S371" s="19" t="n">
        <v>18.3</v>
      </c>
      <c r="T371" s="49"/>
      <c r="U371" s="49"/>
      <c r="V371" s="34" t="n">
        <v>0</v>
      </c>
      <c r="W371" s="33" t="n">
        <v>8.05</v>
      </c>
      <c r="X371" s="19" t="n">
        <v>18.3</v>
      </c>
      <c r="Y371" s="49"/>
      <c r="Z371" s="49"/>
      <c r="AA371" s="34" t="n">
        <v>0</v>
      </c>
      <c r="AB371" s="33" t="n">
        <v>8</v>
      </c>
      <c r="AC371" s="23" t="n">
        <v>19.1</v>
      </c>
      <c r="AD371" s="33"/>
      <c r="AE371" s="34" t="n">
        <f aca="false">0.65*AD371</f>
        <v>0</v>
      </c>
      <c r="AF371" s="33"/>
      <c r="AG371" s="34" t="n">
        <v>0</v>
      </c>
      <c r="AH371" s="45"/>
      <c r="AI371" s="33" t="n">
        <v>8</v>
      </c>
      <c r="AJ371" s="23" t="n">
        <v>19.1</v>
      </c>
      <c r="AK371" s="33"/>
      <c r="AL371" s="34" t="n">
        <f aca="false">AK372*0.55</f>
        <v>29.975</v>
      </c>
      <c r="AM371" s="33"/>
      <c r="AN371" s="34" t="n">
        <v>0</v>
      </c>
      <c r="AO371" s="2" t="n">
        <v>6.32</v>
      </c>
      <c r="AP371" s="23" t="n">
        <v>19.4</v>
      </c>
      <c r="AQ371" s="33" t="n">
        <v>229</v>
      </c>
      <c r="AR371" s="34" t="n">
        <f aca="false">AQ372*0.55</f>
        <v>126.5</v>
      </c>
      <c r="AS371" s="34" t="n">
        <v>0</v>
      </c>
      <c r="AT371" s="33" t="n">
        <v>8.21</v>
      </c>
      <c r="AU371" s="23" t="n">
        <v>19.9</v>
      </c>
      <c r="AV371" s="33" t="n">
        <v>362</v>
      </c>
      <c r="AW371" s="54"/>
      <c r="AX371" s="34" t="n">
        <v>0.7</v>
      </c>
      <c r="AY371" s="34" t="n">
        <v>0</v>
      </c>
    </row>
    <row r="372" customFormat="false" ht="15" hidden="false" customHeight="false" outlineLevel="0" collapsed="false">
      <c r="A372" s="16" t="n">
        <v>45448</v>
      </c>
      <c r="B372" s="2" t="s">
        <v>51</v>
      </c>
      <c r="C372" s="32" t="n">
        <v>8.08</v>
      </c>
      <c r="D372" s="23" t="n">
        <v>20.4</v>
      </c>
      <c r="E372" s="33" t="n">
        <v>54.5</v>
      </c>
      <c r="F372" s="34" t="n">
        <f aca="false">E372*0.65</f>
        <v>35.425</v>
      </c>
      <c r="G372" s="33" t="n">
        <v>0.15</v>
      </c>
      <c r="H372" s="33" t="n">
        <v>8.06</v>
      </c>
      <c r="I372" s="23" t="n">
        <v>19.4</v>
      </c>
      <c r="J372" s="49"/>
      <c r="K372" s="37"/>
      <c r="L372" s="33" t="n">
        <v>0.84</v>
      </c>
      <c r="M372" s="33" t="n">
        <v>8.06</v>
      </c>
      <c r="N372" s="23" t="n">
        <v>19.4</v>
      </c>
      <c r="O372" s="49"/>
      <c r="P372" s="37"/>
      <c r="Q372" s="33" t="n">
        <v>0.62</v>
      </c>
      <c r="R372" s="33" t="n">
        <v>8.05</v>
      </c>
      <c r="S372" s="23" t="n">
        <v>18.5</v>
      </c>
      <c r="T372" s="49"/>
      <c r="U372" s="37"/>
      <c r="V372" s="34" t="n">
        <v>0</v>
      </c>
      <c r="W372" s="33" t="n">
        <v>8.05</v>
      </c>
      <c r="X372" s="23" t="n">
        <v>18.5</v>
      </c>
      <c r="Y372" s="49"/>
      <c r="Z372" s="37"/>
      <c r="AA372" s="34" t="n">
        <v>0</v>
      </c>
      <c r="AB372" s="33" t="n">
        <v>8.04</v>
      </c>
      <c r="AC372" s="23" t="n">
        <v>19.1</v>
      </c>
      <c r="AD372" s="33" t="n">
        <v>54.5</v>
      </c>
      <c r="AE372" s="34" t="n">
        <f aca="false">AD372*0.65</f>
        <v>35.425</v>
      </c>
      <c r="AF372" s="33"/>
      <c r="AG372" s="34" t="n">
        <v>0</v>
      </c>
      <c r="AH372" s="33"/>
      <c r="AI372" s="33" t="n">
        <v>8.04</v>
      </c>
      <c r="AJ372" s="23" t="n">
        <v>19.1</v>
      </c>
      <c r="AK372" s="33" t="n">
        <v>54.5</v>
      </c>
      <c r="AL372" s="34" t="n">
        <f aca="false">AK372*0.65</f>
        <v>35.425</v>
      </c>
      <c r="AM372" s="33"/>
      <c r="AN372" s="34" t="n">
        <v>0</v>
      </c>
      <c r="AO372" s="2" t="n">
        <v>6.35</v>
      </c>
      <c r="AP372" s="23" t="n">
        <v>19.2</v>
      </c>
      <c r="AQ372" s="33" t="n">
        <v>230</v>
      </c>
      <c r="AR372" s="34" t="n">
        <f aca="false">AQ372*0.55</f>
        <v>126.5</v>
      </c>
      <c r="AS372" s="34" t="n">
        <v>0</v>
      </c>
      <c r="AT372" s="33" t="n">
        <v>8.24</v>
      </c>
      <c r="AU372" s="23" t="n">
        <v>19.6</v>
      </c>
      <c r="AV372" s="33" t="n">
        <v>351</v>
      </c>
      <c r="AW372" s="34" t="n">
        <f aca="false">AV372*0.55</f>
        <v>193.05</v>
      </c>
      <c r="AX372" s="34" t="n">
        <v>0.8</v>
      </c>
      <c r="AY372" s="34" t="n">
        <v>0</v>
      </c>
    </row>
    <row r="373" customFormat="false" ht="15" hidden="false" customHeight="false" outlineLevel="0" collapsed="false">
      <c r="A373" s="16" t="n">
        <v>45448</v>
      </c>
      <c r="B373" s="2" t="s">
        <v>52</v>
      </c>
      <c r="C373" s="29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P373" s="21"/>
      <c r="AQ373" s="21"/>
      <c r="AR373" s="21"/>
      <c r="AS373" s="21"/>
      <c r="AT373" s="33" t="n">
        <v>8.3</v>
      </c>
      <c r="AU373" s="23" t="n">
        <v>20.7</v>
      </c>
      <c r="AV373" s="33" t="n">
        <v>355.5</v>
      </c>
      <c r="AW373" s="34" t="n">
        <f aca="false">AV373*0.55</f>
        <v>195.525</v>
      </c>
      <c r="AX373" s="34" t="n">
        <v>1</v>
      </c>
      <c r="AY373" s="34" t="n">
        <v>0.01</v>
      </c>
    </row>
    <row r="374" customFormat="false" ht="15" hidden="false" customHeight="false" outlineLevel="0" collapsed="false">
      <c r="A374" s="16" t="n">
        <v>45448</v>
      </c>
      <c r="B374" s="2" t="s">
        <v>57</v>
      </c>
      <c r="C374" s="32" t="n">
        <v>8.13</v>
      </c>
      <c r="D374" s="23" t="n">
        <v>20.5</v>
      </c>
      <c r="E374" s="33" t="n">
        <v>54.5</v>
      </c>
      <c r="F374" s="34" t="n">
        <f aca="false">0.65*E374</f>
        <v>35.425</v>
      </c>
      <c r="G374" s="33" t="n">
        <v>0.12</v>
      </c>
      <c r="H374" s="33" t="n">
        <v>8.12</v>
      </c>
      <c r="I374" s="23" t="n">
        <v>20</v>
      </c>
      <c r="J374" s="49"/>
      <c r="K374" s="49"/>
      <c r="L374" s="33" t="n">
        <v>0.68</v>
      </c>
      <c r="M374" s="33" t="n">
        <v>8.12</v>
      </c>
      <c r="N374" s="23" t="n">
        <v>20</v>
      </c>
      <c r="O374" s="49"/>
      <c r="P374" s="49"/>
      <c r="Q374" s="33" t="n">
        <v>0.63</v>
      </c>
      <c r="R374" s="34" t="n">
        <v>8.05</v>
      </c>
      <c r="S374" s="19" t="n">
        <v>19.3</v>
      </c>
      <c r="T374" s="49"/>
      <c r="U374" s="49"/>
      <c r="V374" s="34" t="n">
        <v>0</v>
      </c>
      <c r="W374" s="33" t="n">
        <v>8.05</v>
      </c>
      <c r="X374" s="19" t="n">
        <v>19.3</v>
      </c>
      <c r="Y374" s="49"/>
      <c r="Z374" s="49"/>
      <c r="AA374" s="34" t="n">
        <v>0</v>
      </c>
      <c r="AB374" s="33" t="n">
        <v>8</v>
      </c>
      <c r="AC374" s="23" t="n">
        <v>19.2</v>
      </c>
      <c r="AD374" s="33" t="n">
        <v>54.4</v>
      </c>
      <c r="AE374" s="34" t="n">
        <f aca="false">0.65*AD374</f>
        <v>35.36</v>
      </c>
      <c r="AF374" s="33"/>
      <c r="AG374" s="34" t="n">
        <v>0</v>
      </c>
      <c r="AH374" s="45"/>
      <c r="AI374" s="33" t="n">
        <v>8</v>
      </c>
      <c r="AJ374" s="23" t="n">
        <v>19.2</v>
      </c>
      <c r="AK374" s="33" t="n">
        <v>54.4</v>
      </c>
      <c r="AL374" s="34" t="n">
        <f aca="false">AK375*0.55</f>
        <v>29.975</v>
      </c>
      <c r="AM374" s="33"/>
      <c r="AN374" s="34" t="n">
        <v>0</v>
      </c>
      <c r="AO374" s="2" t="n">
        <v>6.2</v>
      </c>
      <c r="AP374" s="23" t="n">
        <v>19.6</v>
      </c>
      <c r="AQ374" s="33" t="n">
        <v>210</v>
      </c>
      <c r="AR374" s="34" t="n">
        <f aca="false">AQ375*0.55</f>
        <v>132</v>
      </c>
      <c r="AS374" s="34" t="n">
        <v>0</v>
      </c>
      <c r="AT374" s="33" t="n">
        <v>8.19</v>
      </c>
      <c r="AU374" s="23" t="n">
        <v>20</v>
      </c>
      <c r="AV374" s="33" t="n">
        <v>354</v>
      </c>
      <c r="AW374" s="54"/>
      <c r="AX374" s="34" t="n">
        <v>0.8</v>
      </c>
      <c r="AY374" s="34" t="n">
        <v>0</v>
      </c>
    </row>
    <row r="375" customFormat="false" ht="15" hidden="false" customHeight="false" outlineLevel="0" collapsed="false">
      <c r="A375" s="16" t="n">
        <v>45478</v>
      </c>
      <c r="B375" s="2" t="s">
        <v>51</v>
      </c>
      <c r="C375" s="32" t="n">
        <v>8.1</v>
      </c>
      <c r="D375" s="23" t="n">
        <v>20.6</v>
      </c>
      <c r="E375" s="33" t="n">
        <v>54.5</v>
      </c>
      <c r="F375" s="34" t="n">
        <f aca="false">E375*0.65</f>
        <v>35.425</v>
      </c>
      <c r="G375" s="33" t="n">
        <v>0.17</v>
      </c>
      <c r="H375" s="33" t="n">
        <v>8.06</v>
      </c>
      <c r="I375" s="23" t="n">
        <v>19.9</v>
      </c>
      <c r="J375" s="49"/>
      <c r="K375" s="37"/>
      <c r="L375" s="33" t="n">
        <v>0.78</v>
      </c>
      <c r="M375" s="33" t="n">
        <v>8.07</v>
      </c>
      <c r="N375" s="23" t="n">
        <v>19.9</v>
      </c>
      <c r="O375" s="49"/>
      <c r="P375" s="37"/>
      <c r="Q375" s="33" t="n">
        <v>0.56</v>
      </c>
      <c r="R375" s="33" t="n">
        <v>8.04</v>
      </c>
      <c r="S375" s="23" t="n">
        <v>19.6</v>
      </c>
      <c r="T375" s="49"/>
      <c r="U375" s="37"/>
      <c r="V375" s="34" t="n">
        <v>0</v>
      </c>
      <c r="W375" s="33" t="n">
        <v>8.04</v>
      </c>
      <c r="X375" s="23" t="n">
        <v>19.6</v>
      </c>
      <c r="Y375" s="49"/>
      <c r="Z375" s="37"/>
      <c r="AA375" s="34" t="n">
        <v>0</v>
      </c>
      <c r="AB375" s="33" t="n">
        <v>8</v>
      </c>
      <c r="AC375" s="23" t="n">
        <v>19.3</v>
      </c>
      <c r="AD375" s="33" t="n">
        <v>54.5</v>
      </c>
      <c r="AE375" s="34" t="n">
        <f aca="false">AD375*0.65</f>
        <v>35.425</v>
      </c>
      <c r="AF375" s="33"/>
      <c r="AG375" s="34" t="n">
        <v>0</v>
      </c>
      <c r="AH375" s="33"/>
      <c r="AI375" s="33" t="n">
        <v>8</v>
      </c>
      <c r="AJ375" s="23" t="n">
        <v>19.3</v>
      </c>
      <c r="AK375" s="33" t="n">
        <v>54.5</v>
      </c>
      <c r="AL375" s="34" t="n">
        <f aca="false">AK375*0.65</f>
        <v>35.425</v>
      </c>
      <c r="AM375" s="33"/>
      <c r="AN375" s="34" t="n">
        <v>0</v>
      </c>
      <c r="AO375" s="2" t="n">
        <v>6.31</v>
      </c>
      <c r="AP375" s="23" t="n">
        <v>19.6</v>
      </c>
      <c r="AQ375" s="33" t="n">
        <v>240</v>
      </c>
      <c r="AR375" s="34" t="n">
        <f aca="false">AQ375*0.55</f>
        <v>132</v>
      </c>
      <c r="AS375" s="34" t="n">
        <v>0</v>
      </c>
      <c r="AT375" s="33" t="n">
        <v>8.25</v>
      </c>
      <c r="AU375" s="23" t="n">
        <v>19.8</v>
      </c>
      <c r="AV375" s="33" t="n">
        <v>361.4</v>
      </c>
      <c r="AW375" s="34" t="n">
        <f aca="false">AV375*0.55</f>
        <v>198.77</v>
      </c>
      <c r="AX375" s="34" t="n">
        <v>0.8</v>
      </c>
      <c r="AY375" s="34" t="n">
        <v>0</v>
      </c>
    </row>
    <row r="376" customFormat="false" ht="15" hidden="false" customHeight="false" outlineLevel="0" collapsed="false">
      <c r="A376" s="16" t="n">
        <v>45478</v>
      </c>
      <c r="B376" s="2" t="s">
        <v>52</v>
      </c>
      <c r="C376" s="29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P376" s="21"/>
      <c r="AQ376" s="21"/>
      <c r="AR376" s="21"/>
      <c r="AS376" s="21"/>
      <c r="AT376" s="33" t="n">
        <v>8.2</v>
      </c>
      <c r="AU376" s="23" t="n">
        <v>20.7</v>
      </c>
      <c r="AV376" s="33" t="n">
        <v>358.5</v>
      </c>
      <c r="AW376" s="34" t="n">
        <f aca="false">AV376*0.55</f>
        <v>197.175</v>
      </c>
      <c r="AX376" s="34" t="n">
        <v>1</v>
      </c>
      <c r="AY376" s="34" t="n">
        <v>0</v>
      </c>
    </row>
    <row r="377" customFormat="false" ht="15" hidden="false" customHeight="false" outlineLevel="0" collapsed="false">
      <c r="A377" s="16" t="n">
        <v>45478</v>
      </c>
      <c r="B377" s="2" t="s">
        <v>57</v>
      </c>
      <c r="C377" s="32" t="n">
        <v>8.14</v>
      </c>
      <c r="D377" s="23" t="n">
        <v>21.4</v>
      </c>
      <c r="E377" s="33" t="n">
        <v>54.6</v>
      </c>
      <c r="F377" s="34" t="n">
        <f aca="false">0.65*E377</f>
        <v>35.49</v>
      </c>
      <c r="G377" s="33" t="n">
        <v>0.33</v>
      </c>
      <c r="H377" s="33" t="n">
        <v>8.12</v>
      </c>
      <c r="I377" s="23" t="n">
        <v>21.2</v>
      </c>
      <c r="J377" s="49"/>
      <c r="K377" s="49"/>
      <c r="L377" s="33" t="n">
        <v>0.68</v>
      </c>
      <c r="M377" s="33" t="n">
        <v>8.12</v>
      </c>
      <c r="N377" s="23" t="n">
        <v>21.2</v>
      </c>
      <c r="O377" s="49"/>
      <c r="P377" s="49"/>
      <c r="Q377" s="33" t="n">
        <v>0.72</v>
      </c>
      <c r="R377" s="34" t="n">
        <v>8.05</v>
      </c>
      <c r="S377" s="19" t="n">
        <v>20.8</v>
      </c>
      <c r="T377" s="49"/>
      <c r="U377" s="49"/>
      <c r="V377" s="34" t="n">
        <v>0</v>
      </c>
      <c r="W377" s="33" t="n">
        <v>8.05</v>
      </c>
      <c r="X377" s="19" t="n">
        <v>20.8</v>
      </c>
      <c r="Y377" s="49"/>
      <c r="Z377" s="49"/>
      <c r="AA377" s="34" t="n">
        <v>0</v>
      </c>
      <c r="AB377" s="33" t="n">
        <v>7.99</v>
      </c>
      <c r="AC377" s="23" t="n">
        <v>19.4</v>
      </c>
      <c r="AD377" s="33" t="n">
        <v>54.5</v>
      </c>
      <c r="AE377" s="34" t="n">
        <f aca="false">0.65*AD377</f>
        <v>35.425</v>
      </c>
      <c r="AF377" s="33"/>
      <c r="AG377" s="34" t="n">
        <v>0</v>
      </c>
      <c r="AH377" s="45"/>
      <c r="AI377" s="33" t="n">
        <v>7.99</v>
      </c>
      <c r="AJ377" s="23" t="n">
        <v>19.4</v>
      </c>
      <c r="AK377" s="33" t="n">
        <v>54.5</v>
      </c>
      <c r="AL377" s="34" t="n">
        <f aca="false">AK378*0.55</f>
        <v>29.975</v>
      </c>
      <c r="AM377" s="33"/>
      <c r="AN377" s="34" t="n">
        <v>0</v>
      </c>
      <c r="AO377" s="2" t="n">
        <v>6.4</v>
      </c>
      <c r="AP377" s="23" t="n">
        <v>19.8</v>
      </c>
      <c r="AQ377" s="33" t="n">
        <v>289</v>
      </c>
      <c r="AR377" s="34" t="n">
        <f aca="false">AQ378*0.55</f>
        <v>131.45</v>
      </c>
      <c r="AS377" s="34" t="n">
        <v>0</v>
      </c>
      <c r="AT377" s="33" t="n">
        <v>8.33</v>
      </c>
      <c r="AU377" s="23" t="n">
        <v>20.5</v>
      </c>
      <c r="AV377" s="33" t="n">
        <v>368</v>
      </c>
      <c r="AW377" s="54"/>
      <c r="AX377" s="34" t="n">
        <v>1</v>
      </c>
      <c r="AY377" s="34" t="n">
        <v>0</v>
      </c>
    </row>
    <row r="378" customFormat="false" ht="15" hidden="false" customHeight="false" outlineLevel="0" collapsed="false">
      <c r="A378" s="16" t="n">
        <v>45509</v>
      </c>
      <c r="B378" s="2" t="s">
        <v>51</v>
      </c>
      <c r="C378" s="32" t="n">
        <v>8.11</v>
      </c>
      <c r="D378" s="23" t="n">
        <v>19.8</v>
      </c>
      <c r="E378" s="33" t="n">
        <v>54.5</v>
      </c>
      <c r="F378" s="34" t="n">
        <f aca="false">E378*0.65</f>
        <v>35.425</v>
      </c>
      <c r="G378" s="33" t="n">
        <v>0.13</v>
      </c>
      <c r="H378" s="33" t="n">
        <v>8.1</v>
      </c>
      <c r="I378" s="23" t="n">
        <v>19.7</v>
      </c>
      <c r="J378" s="49"/>
      <c r="K378" s="37"/>
      <c r="L378" s="33" t="n">
        <v>1.07</v>
      </c>
      <c r="M378" s="33" t="n">
        <v>8.1</v>
      </c>
      <c r="N378" s="23" t="n">
        <v>19.7</v>
      </c>
      <c r="O378" s="49"/>
      <c r="P378" s="37"/>
      <c r="Q378" s="33" t="n">
        <v>1.05</v>
      </c>
      <c r="R378" s="33" t="n">
        <v>8.07</v>
      </c>
      <c r="S378" s="23" t="n">
        <v>19.3</v>
      </c>
      <c r="T378" s="49"/>
      <c r="U378" s="37"/>
      <c r="V378" s="34" t="n">
        <v>0</v>
      </c>
      <c r="W378" s="33" t="n">
        <v>8.07</v>
      </c>
      <c r="X378" s="23" t="n">
        <v>19.3</v>
      </c>
      <c r="Y378" s="49"/>
      <c r="Z378" s="37"/>
      <c r="AA378" s="34" t="n">
        <v>0</v>
      </c>
      <c r="AB378" s="33" t="n">
        <v>8.05</v>
      </c>
      <c r="AC378" s="23" t="n">
        <v>19</v>
      </c>
      <c r="AD378" s="33" t="n">
        <v>54.5</v>
      </c>
      <c r="AE378" s="34" t="n">
        <f aca="false">AD378*0.65</f>
        <v>35.425</v>
      </c>
      <c r="AF378" s="33"/>
      <c r="AG378" s="34" t="n">
        <v>0</v>
      </c>
      <c r="AH378" s="33"/>
      <c r="AI378" s="33" t="n">
        <v>8.05</v>
      </c>
      <c r="AJ378" s="23" t="n">
        <v>19</v>
      </c>
      <c r="AK378" s="33" t="n">
        <v>54.5</v>
      </c>
      <c r="AL378" s="34" t="n">
        <f aca="false">AK378*0.65</f>
        <v>35.425</v>
      </c>
      <c r="AM378" s="33"/>
      <c r="AN378" s="34" t="n">
        <v>0</v>
      </c>
      <c r="AO378" s="2" t="n">
        <v>6.32</v>
      </c>
      <c r="AP378" s="23" t="n">
        <v>18.5</v>
      </c>
      <c r="AQ378" s="33" t="n">
        <v>239</v>
      </c>
      <c r="AR378" s="34" t="n">
        <f aca="false">AQ378*0.55</f>
        <v>131.45</v>
      </c>
      <c r="AS378" s="34" t="n">
        <v>0</v>
      </c>
      <c r="AT378" s="33" t="n">
        <v>8.27</v>
      </c>
      <c r="AU378" s="23" t="n">
        <v>19.2</v>
      </c>
      <c r="AV378" s="33" t="n">
        <v>347.8</v>
      </c>
      <c r="AW378" s="34" t="n">
        <f aca="false">AV378*0.55</f>
        <v>191.29</v>
      </c>
      <c r="AX378" s="34" t="n">
        <v>0.8</v>
      </c>
      <c r="AY378" s="34" t="n">
        <v>0</v>
      </c>
    </row>
    <row r="379" customFormat="false" ht="15" hidden="false" customHeight="false" outlineLevel="0" collapsed="false">
      <c r="A379" s="16" t="n">
        <v>45509</v>
      </c>
      <c r="B379" s="2" t="s">
        <v>52</v>
      </c>
      <c r="C379" s="29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P379" s="21"/>
      <c r="AQ379" s="21"/>
      <c r="AR379" s="21"/>
      <c r="AS379" s="21"/>
      <c r="AT379" s="33" t="n">
        <v>8.25</v>
      </c>
      <c r="AU379" s="23" t="n">
        <v>20.7</v>
      </c>
      <c r="AV379" s="33" t="n">
        <v>364.4</v>
      </c>
      <c r="AW379" s="34" t="n">
        <f aca="false">AV379*0.55</f>
        <v>200.42</v>
      </c>
      <c r="AX379" s="34" t="n">
        <v>1</v>
      </c>
      <c r="AY379" s="34" t="n">
        <v>0</v>
      </c>
    </row>
    <row r="380" customFormat="false" ht="15" hidden="false" customHeight="false" outlineLevel="0" collapsed="false">
      <c r="A380" s="16" t="n">
        <v>45509</v>
      </c>
      <c r="B380" s="2" t="s">
        <v>57</v>
      </c>
      <c r="C380" s="32" t="n">
        <v>8.19</v>
      </c>
      <c r="D380" s="23" t="n">
        <v>20.6</v>
      </c>
      <c r="E380" s="33" t="n">
        <v>54.6</v>
      </c>
      <c r="F380" s="34" t="n">
        <f aca="false">0.65*E380</f>
        <v>35.49</v>
      </c>
      <c r="G380" s="33" t="n">
        <v>0.17</v>
      </c>
      <c r="H380" s="33" t="n">
        <v>8.12</v>
      </c>
      <c r="I380" s="23" t="n">
        <v>20.3</v>
      </c>
      <c r="J380" s="49"/>
      <c r="K380" s="49"/>
      <c r="L380" s="33" t="n">
        <v>0.65</v>
      </c>
      <c r="M380" s="33" t="n">
        <v>8.12</v>
      </c>
      <c r="N380" s="23" t="n">
        <v>20.3</v>
      </c>
      <c r="O380" s="49"/>
      <c r="P380" s="49"/>
      <c r="Q380" s="33" t="n">
        <v>0.67</v>
      </c>
      <c r="R380" s="34" t="n">
        <v>8.03</v>
      </c>
      <c r="S380" s="19" t="n">
        <v>20.1</v>
      </c>
      <c r="T380" s="49"/>
      <c r="U380" s="49"/>
      <c r="V380" s="34" t="n">
        <v>0</v>
      </c>
      <c r="W380" s="33" t="n">
        <v>8.03</v>
      </c>
      <c r="X380" s="19" t="n">
        <v>20.1</v>
      </c>
      <c r="Y380" s="49"/>
      <c r="Z380" s="49"/>
      <c r="AA380" s="34" t="n">
        <v>0</v>
      </c>
      <c r="AB380" s="33" t="n">
        <v>8.01</v>
      </c>
      <c r="AC380" s="23" t="n">
        <v>19</v>
      </c>
      <c r="AD380" s="33" t="n">
        <v>54.5</v>
      </c>
      <c r="AE380" s="34" t="n">
        <f aca="false">0.65*AD380</f>
        <v>35.425</v>
      </c>
      <c r="AF380" s="33"/>
      <c r="AG380" s="34" t="n">
        <v>0</v>
      </c>
      <c r="AH380" s="45"/>
      <c r="AI380" s="33" t="n">
        <v>8.01</v>
      </c>
      <c r="AJ380" s="23" t="n">
        <v>19</v>
      </c>
      <c r="AK380" s="33" t="n">
        <v>54.5</v>
      </c>
      <c r="AL380" s="34" t="n">
        <f aca="false">AK381*0.55</f>
        <v>29.865</v>
      </c>
      <c r="AM380" s="33"/>
      <c r="AN380" s="34" t="n">
        <v>0</v>
      </c>
      <c r="AO380" s="2" t="n">
        <v>6.33</v>
      </c>
      <c r="AP380" s="23" t="n">
        <v>19.3</v>
      </c>
      <c r="AQ380" s="33" t="n">
        <v>242</v>
      </c>
      <c r="AR380" s="34" t="n">
        <f aca="false">AQ381*0.55</f>
        <v>131.45</v>
      </c>
      <c r="AS380" s="34" t="n">
        <v>0</v>
      </c>
      <c r="AT380" s="41" t="n">
        <v>8.33</v>
      </c>
      <c r="AU380" s="40" t="n">
        <v>19.9</v>
      </c>
      <c r="AV380" s="41" t="n">
        <v>367.5</v>
      </c>
      <c r="AW380" s="56"/>
      <c r="AX380" s="43" t="n">
        <v>1</v>
      </c>
      <c r="AY380" s="43" t="n">
        <v>0</v>
      </c>
    </row>
    <row r="381" customFormat="false" ht="15" hidden="false" customHeight="false" outlineLevel="0" collapsed="false">
      <c r="A381" s="16" t="n">
        <v>45540</v>
      </c>
      <c r="B381" s="2" t="s">
        <v>51</v>
      </c>
      <c r="C381" s="32" t="n">
        <v>8.13</v>
      </c>
      <c r="D381" s="23" t="n">
        <v>19.8</v>
      </c>
      <c r="E381" s="33" t="n">
        <v>54.3</v>
      </c>
      <c r="F381" s="34" t="n">
        <f aca="false">E381*0.65</f>
        <v>35.295</v>
      </c>
      <c r="G381" s="33" t="n">
        <v>0.23</v>
      </c>
      <c r="H381" s="33" t="n">
        <v>8.12</v>
      </c>
      <c r="I381" s="23" t="n">
        <v>19.6</v>
      </c>
      <c r="J381" s="49"/>
      <c r="K381" s="37"/>
      <c r="L381" s="33" t="n">
        <v>0.75</v>
      </c>
      <c r="M381" s="33" t="n">
        <v>8.12</v>
      </c>
      <c r="N381" s="23" t="n">
        <v>19.6</v>
      </c>
      <c r="O381" s="49"/>
      <c r="P381" s="37"/>
      <c r="Q381" s="33" t="n">
        <v>0.77</v>
      </c>
      <c r="R381" s="33" t="n">
        <v>8.1</v>
      </c>
      <c r="S381" s="23" t="n">
        <v>18.6</v>
      </c>
      <c r="T381" s="49"/>
      <c r="U381" s="37"/>
      <c r="V381" s="34" t="n">
        <v>0</v>
      </c>
      <c r="W381" s="33" t="n">
        <v>8.1</v>
      </c>
      <c r="X381" s="23" t="n">
        <v>18.6</v>
      </c>
      <c r="Y381" s="49"/>
      <c r="Z381" s="37"/>
      <c r="AA381" s="34" t="n">
        <v>0</v>
      </c>
      <c r="AB381" s="33" t="n">
        <v>8.05</v>
      </c>
      <c r="AC381" s="23" t="n">
        <v>18.2</v>
      </c>
      <c r="AD381" s="33" t="n">
        <v>54.3</v>
      </c>
      <c r="AE381" s="34" t="n">
        <f aca="false">AD381*0.65</f>
        <v>35.295</v>
      </c>
      <c r="AF381" s="33"/>
      <c r="AG381" s="34" t="n">
        <v>0</v>
      </c>
      <c r="AH381" s="33"/>
      <c r="AI381" s="33" t="n">
        <v>8.05</v>
      </c>
      <c r="AJ381" s="23" t="n">
        <v>18.2</v>
      </c>
      <c r="AK381" s="33" t="n">
        <v>54.3</v>
      </c>
      <c r="AL381" s="34" t="n">
        <f aca="false">AK381*0.65</f>
        <v>35.295</v>
      </c>
      <c r="AM381" s="33"/>
      <c r="AN381" s="34" t="n">
        <v>0</v>
      </c>
      <c r="AO381" s="2" t="n">
        <v>6.23</v>
      </c>
      <c r="AP381" s="23" t="n">
        <v>18.4</v>
      </c>
      <c r="AQ381" s="33" t="n">
        <v>239</v>
      </c>
      <c r="AR381" s="34" t="n">
        <f aca="false">AQ381*0.55</f>
        <v>131.45</v>
      </c>
      <c r="AS381" s="34" t="n">
        <v>0</v>
      </c>
      <c r="AT381" s="33" t="n">
        <v>8.23</v>
      </c>
      <c r="AU381" s="23" t="n">
        <v>19.1</v>
      </c>
      <c r="AV381" s="33" t="n">
        <v>377.6</v>
      </c>
      <c r="AW381" s="34" t="n">
        <f aca="false">AV381*0.55</f>
        <v>207.68</v>
      </c>
      <c r="AX381" s="34" t="n">
        <v>0.8</v>
      </c>
      <c r="AY381" s="34" t="n">
        <v>0</v>
      </c>
    </row>
    <row r="382" customFormat="false" ht="15" hidden="false" customHeight="false" outlineLevel="0" collapsed="false">
      <c r="A382" s="16" t="n">
        <v>45540</v>
      </c>
      <c r="B382" s="2" t="s">
        <v>52</v>
      </c>
      <c r="C382" s="29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P382" s="21"/>
      <c r="AQ382" s="21"/>
      <c r="AR382" s="21"/>
      <c r="AS382" s="21"/>
      <c r="AT382" s="33" t="n">
        <v>8.21</v>
      </c>
      <c r="AU382" s="23" t="n">
        <v>20.8</v>
      </c>
      <c r="AV382" s="33" t="n">
        <v>365.6</v>
      </c>
      <c r="AW382" s="34" t="n">
        <f aca="false">AV382*0.55</f>
        <v>201.08</v>
      </c>
      <c r="AX382" s="34" t="n">
        <v>1</v>
      </c>
      <c r="AY382" s="34" t="n">
        <v>0</v>
      </c>
    </row>
    <row r="383" customFormat="false" ht="15" hidden="false" customHeight="false" outlineLevel="0" collapsed="false">
      <c r="A383" s="16" t="n">
        <v>45540</v>
      </c>
      <c r="B383" s="2" t="s">
        <v>57</v>
      </c>
      <c r="C383" s="32" t="n">
        <v>8.08</v>
      </c>
      <c r="D383" s="23" t="n">
        <v>21.6</v>
      </c>
      <c r="E383" s="33" t="n">
        <v>54.5</v>
      </c>
      <c r="F383" s="34" t="n">
        <f aca="false">0.65*E383</f>
        <v>35.425</v>
      </c>
      <c r="G383" s="33" t="n">
        <v>0.26</v>
      </c>
      <c r="H383" s="33" t="n">
        <v>8.05</v>
      </c>
      <c r="I383" s="23" t="n">
        <v>21.3</v>
      </c>
      <c r="J383" s="49"/>
      <c r="K383" s="49"/>
      <c r="L383" s="33" t="n">
        <v>0.77</v>
      </c>
      <c r="M383" s="33" t="n">
        <v>8.05</v>
      </c>
      <c r="N383" s="23" t="n">
        <v>21.3</v>
      </c>
      <c r="O383" s="49"/>
      <c r="P383" s="49"/>
      <c r="Q383" s="33" t="n">
        <v>0.75</v>
      </c>
      <c r="R383" s="34" t="n">
        <v>8.02</v>
      </c>
      <c r="S383" s="19" t="n">
        <v>19.8</v>
      </c>
      <c r="T383" s="49"/>
      <c r="U383" s="49"/>
      <c r="V383" s="34" t="n">
        <v>0</v>
      </c>
      <c r="W383" s="33" t="n">
        <v>8.02</v>
      </c>
      <c r="X383" s="19" t="n">
        <v>19.8</v>
      </c>
      <c r="Y383" s="49"/>
      <c r="Z383" s="49"/>
      <c r="AA383" s="34" t="n">
        <v>0</v>
      </c>
      <c r="AB383" s="33" t="n">
        <v>8</v>
      </c>
      <c r="AC383" s="23" t="n">
        <v>19.3</v>
      </c>
      <c r="AD383" s="33" t="n">
        <v>54.5</v>
      </c>
      <c r="AE383" s="34" t="n">
        <f aca="false">0.65*AD383</f>
        <v>35.425</v>
      </c>
      <c r="AF383" s="33"/>
      <c r="AG383" s="34" t="n">
        <v>0</v>
      </c>
      <c r="AH383" s="45"/>
      <c r="AI383" s="33" t="n">
        <v>8</v>
      </c>
      <c r="AJ383" s="23" t="n">
        <v>19.3</v>
      </c>
      <c r="AK383" s="33" t="n">
        <v>54.5</v>
      </c>
      <c r="AL383" s="34" t="n">
        <f aca="false">AK384*0.55</f>
        <v>30.085</v>
      </c>
      <c r="AM383" s="33"/>
      <c r="AN383" s="34" t="n">
        <v>0</v>
      </c>
      <c r="AO383" s="2" t="n">
        <v>6.5</v>
      </c>
      <c r="AP383" s="23" t="n">
        <v>19.6</v>
      </c>
      <c r="AQ383" s="33" t="n">
        <v>250</v>
      </c>
      <c r="AR383" s="34" t="n">
        <f aca="false">AQ384*0.55</f>
        <v>128.15</v>
      </c>
      <c r="AS383" s="34" t="n">
        <v>0</v>
      </c>
      <c r="AT383" s="33" t="n">
        <v>8.15</v>
      </c>
      <c r="AU383" s="23" t="n">
        <v>20</v>
      </c>
      <c r="AV383" s="33" t="n">
        <v>367.5</v>
      </c>
      <c r="AW383" s="54"/>
      <c r="AX383" s="34" t="n">
        <v>1</v>
      </c>
      <c r="AY383" s="34" t="n">
        <v>0</v>
      </c>
    </row>
    <row r="384" customFormat="false" ht="15" hidden="false" customHeight="false" outlineLevel="0" collapsed="false">
      <c r="A384" s="16" t="n">
        <v>45570</v>
      </c>
      <c r="B384" s="2" t="s">
        <v>51</v>
      </c>
      <c r="C384" s="32" t="n">
        <v>8.12</v>
      </c>
      <c r="D384" s="23" t="n">
        <v>20.5</v>
      </c>
      <c r="E384" s="33" t="n">
        <v>54.8</v>
      </c>
      <c r="F384" s="34" t="n">
        <f aca="false">E384*0.65</f>
        <v>35.62</v>
      </c>
      <c r="G384" s="33" t="n">
        <v>0.14</v>
      </c>
      <c r="H384" s="33" t="n">
        <v>8.11</v>
      </c>
      <c r="I384" s="23" t="n">
        <v>20.11</v>
      </c>
      <c r="J384" s="49"/>
      <c r="K384" s="37"/>
      <c r="L384" s="33" t="n">
        <v>0.58</v>
      </c>
      <c r="M384" s="33" t="n">
        <v>8.11</v>
      </c>
      <c r="N384" s="23" t="n">
        <v>20.04</v>
      </c>
      <c r="O384" s="49"/>
      <c r="P384" s="37"/>
      <c r="Q384" s="33" t="n">
        <v>0.44</v>
      </c>
      <c r="R384" s="33" t="n">
        <v>8.09</v>
      </c>
      <c r="S384" s="23" t="n">
        <v>19.8</v>
      </c>
      <c r="T384" s="49"/>
      <c r="U384" s="37"/>
      <c r="V384" s="34" t="n">
        <v>0</v>
      </c>
      <c r="W384" s="33" t="n">
        <v>8.09</v>
      </c>
      <c r="X384" s="23" t="n">
        <v>19.8</v>
      </c>
      <c r="Y384" s="49"/>
      <c r="Z384" s="37"/>
      <c r="AA384" s="34" t="n">
        <v>0</v>
      </c>
      <c r="AB384" s="33" t="n">
        <v>8.05</v>
      </c>
      <c r="AC384" s="23" t="n">
        <v>19.7</v>
      </c>
      <c r="AD384" s="33" t="n">
        <v>54.7</v>
      </c>
      <c r="AE384" s="34" t="n">
        <f aca="false">AD384*0.65</f>
        <v>35.555</v>
      </c>
      <c r="AF384" s="33"/>
      <c r="AG384" s="34" t="n">
        <v>0</v>
      </c>
      <c r="AH384" s="33"/>
      <c r="AI384" s="33" t="n">
        <v>8.05</v>
      </c>
      <c r="AJ384" s="23" t="n">
        <v>19.5</v>
      </c>
      <c r="AK384" s="33" t="n">
        <v>54.7</v>
      </c>
      <c r="AL384" s="34" t="n">
        <f aca="false">AK384*0.65</f>
        <v>35.555</v>
      </c>
      <c r="AM384" s="33"/>
      <c r="AN384" s="34" t="n">
        <v>0</v>
      </c>
      <c r="AO384" s="2" t="n">
        <v>6.52</v>
      </c>
      <c r="AP384" s="23" t="n">
        <v>19.6</v>
      </c>
      <c r="AQ384" s="33" t="n">
        <v>233</v>
      </c>
      <c r="AR384" s="34" t="n">
        <f aca="false">AQ384*0.55</f>
        <v>128.15</v>
      </c>
      <c r="AS384" s="34" t="n">
        <v>0</v>
      </c>
      <c r="AT384" s="33" t="n">
        <v>8.22</v>
      </c>
      <c r="AU384" s="23" t="n">
        <v>20.1</v>
      </c>
      <c r="AV384" s="33" t="n">
        <v>371.6</v>
      </c>
      <c r="AW384" s="34" t="n">
        <f aca="false">AV384*0.55</f>
        <v>204.38</v>
      </c>
      <c r="AX384" s="34" t="n">
        <v>0.9</v>
      </c>
      <c r="AY384" s="34" t="n">
        <v>0</v>
      </c>
    </row>
    <row r="385" customFormat="false" ht="15" hidden="false" customHeight="false" outlineLevel="0" collapsed="false">
      <c r="A385" s="16" t="n">
        <v>45570</v>
      </c>
      <c r="B385" s="2" t="s">
        <v>52</v>
      </c>
      <c r="C385" s="29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P385" s="21"/>
      <c r="AQ385" s="21"/>
      <c r="AR385" s="21"/>
      <c r="AS385" s="21"/>
      <c r="AT385" s="33" t="n">
        <v>8.3</v>
      </c>
      <c r="AU385" s="23" t="n">
        <v>20.8</v>
      </c>
      <c r="AV385" s="33" t="n">
        <v>371.5</v>
      </c>
      <c r="AW385" s="34" t="n">
        <f aca="false">AV385*0.55</f>
        <v>204.325</v>
      </c>
      <c r="AX385" s="34" t="n">
        <v>0.9</v>
      </c>
      <c r="AY385" s="34" t="n">
        <v>0</v>
      </c>
    </row>
    <row r="386" customFormat="false" ht="15" hidden="false" customHeight="false" outlineLevel="0" collapsed="false">
      <c r="A386" s="16" t="n">
        <v>45570</v>
      </c>
      <c r="B386" s="2" t="s">
        <v>57</v>
      </c>
      <c r="C386" s="32" t="n">
        <v>8.12</v>
      </c>
      <c r="D386" s="23" t="n">
        <v>21.3</v>
      </c>
      <c r="E386" s="33" t="n">
        <v>54.4</v>
      </c>
      <c r="F386" s="34" t="n">
        <f aca="false">0.65*E386</f>
        <v>35.36</v>
      </c>
      <c r="G386" s="33" t="n">
        <v>0.25</v>
      </c>
      <c r="H386" s="33" t="n">
        <v>8.1</v>
      </c>
      <c r="I386" s="23" t="n">
        <v>21</v>
      </c>
      <c r="J386" s="49"/>
      <c r="K386" s="49"/>
      <c r="L386" s="33" t="n">
        <v>0.63</v>
      </c>
      <c r="M386" s="33" t="n">
        <v>8.1</v>
      </c>
      <c r="N386" s="23" t="n">
        <v>21</v>
      </c>
      <c r="O386" s="49"/>
      <c r="P386" s="49"/>
      <c r="Q386" s="33" t="n">
        <v>0.66</v>
      </c>
      <c r="R386" s="34" t="n">
        <v>8.07</v>
      </c>
      <c r="S386" s="19" t="n">
        <v>19.7</v>
      </c>
      <c r="T386" s="49"/>
      <c r="U386" s="49"/>
      <c r="V386" s="34" t="n">
        <v>0</v>
      </c>
      <c r="W386" s="33" t="n">
        <v>8.07</v>
      </c>
      <c r="X386" s="19" t="n">
        <v>19.7</v>
      </c>
      <c r="Y386" s="49"/>
      <c r="Z386" s="49"/>
      <c r="AA386" s="34" t="n">
        <v>0</v>
      </c>
      <c r="AB386" s="33" t="n">
        <v>8.06</v>
      </c>
      <c r="AC386" s="23" t="n">
        <v>19.6</v>
      </c>
      <c r="AD386" s="33" t="n">
        <v>54.4</v>
      </c>
      <c r="AE386" s="34" t="n">
        <f aca="false">0.65*AD386</f>
        <v>35.36</v>
      </c>
      <c r="AF386" s="33"/>
      <c r="AG386" s="34" t="n">
        <v>0</v>
      </c>
      <c r="AH386" s="45"/>
      <c r="AI386" s="33" t="n">
        <v>8.06</v>
      </c>
      <c r="AJ386" s="23" t="n">
        <v>19.6</v>
      </c>
      <c r="AK386" s="33" t="n">
        <v>54.4</v>
      </c>
      <c r="AL386" s="34" t="n">
        <f aca="false">AK387*0.55</f>
        <v>29.865</v>
      </c>
      <c r="AM386" s="33"/>
      <c r="AN386" s="34" t="n">
        <v>0</v>
      </c>
      <c r="AO386" s="2" t="n">
        <v>6.54</v>
      </c>
      <c r="AP386" s="23" t="n">
        <v>19.7</v>
      </c>
      <c r="AQ386" s="33" t="n">
        <v>244</v>
      </c>
      <c r="AR386" s="34" t="n">
        <f aca="false">AQ387*0.55</f>
        <v>128.15</v>
      </c>
      <c r="AS386" s="34" t="n">
        <v>0</v>
      </c>
      <c r="AT386" s="33" t="n">
        <v>8.32</v>
      </c>
      <c r="AU386" s="23" t="n">
        <v>20.4</v>
      </c>
      <c r="AV386" s="33" t="n">
        <v>388.4</v>
      </c>
      <c r="AW386" s="54"/>
      <c r="AX386" s="34" t="n">
        <v>0.9</v>
      </c>
      <c r="AY386" s="34" t="n">
        <v>0</v>
      </c>
    </row>
    <row r="387" customFormat="false" ht="15" hidden="false" customHeight="false" outlineLevel="0" collapsed="false">
      <c r="A387" s="16" t="n">
        <v>45601</v>
      </c>
      <c r="B387" s="2" t="s">
        <v>51</v>
      </c>
      <c r="C387" s="32" t="n">
        <v>8.11</v>
      </c>
      <c r="D387" s="23" t="n">
        <v>19.6</v>
      </c>
      <c r="E387" s="33" t="n">
        <v>54.3</v>
      </c>
      <c r="F387" s="34" t="n">
        <f aca="false">E387*0.65</f>
        <v>35.295</v>
      </c>
      <c r="G387" s="33" t="n">
        <v>0.33</v>
      </c>
      <c r="H387" s="33" t="n">
        <v>8.1</v>
      </c>
      <c r="I387" s="23" t="n">
        <v>19.7</v>
      </c>
      <c r="J387" s="49"/>
      <c r="K387" s="37"/>
      <c r="L387" s="33" t="n">
        <v>0.66</v>
      </c>
      <c r="M387" s="33" t="n">
        <v>8.1</v>
      </c>
      <c r="N387" s="23" t="n">
        <v>19.7</v>
      </c>
      <c r="O387" s="49"/>
      <c r="P387" s="37"/>
      <c r="Q387" s="33" t="n">
        <v>0.67</v>
      </c>
      <c r="R387" s="33" t="n">
        <v>8.08</v>
      </c>
      <c r="S387" s="23" t="n">
        <v>19.7</v>
      </c>
      <c r="T387" s="49"/>
      <c r="U387" s="37"/>
      <c r="V387" s="34" t="n">
        <v>0</v>
      </c>
      <c r="W387" s="33" t="n">
        <v>8.08</v>
      </c>
      <c r="X387" s="23" t="n">
        <v>19.7</v>
      </c>
      <c r="Y387" s="49"/>
      <c r="Z387" s="37"/>
      <c r="AA387" s="34" t="n">
        <v>0</v>
      </c>
      <c r="AB387" s="33" t="n">
        <v>8.05</v>
      </c>
      <c r="AC387" s="23" t="n">
        <v>19.3</v>
      </c>
      <c r="AD387" s="33" t="n">
        <v>54.3</v>
      </c>
      <c r="AE387" s="34" t="n">
        <f aca="false">AD387*0.65</f>
        <v>35.295</v>
      </c>
      <c r="AF387" s="33"/>
      <c r="AG387" s="34" t="n">
        <v>0</v>
      </c>
      <c r="AH387" s="33"/>
      <c r="AI387" s="33" t="n">
        <v>8.05</v>
      </c>
      <c r="AJ387" s="23" t="n">
        <v>19.3</v>
      </c>
      <c r="AK387" s="33" t="n">
        <v>54.3</v>
      </c>
      <c r="AL387" s="34" t="n">
        <f aca="false">AK387*0.65</f>
        <v>35.295</v>
      </c>
      <c r="AM387" s="33"/>
      <c r="AN387" s="34" t="n">
        <v>0</v>
      </c>
      <c r="AO387" s="2" t="n">
        <v>6.52</v>
      </c>
      <c r="AP387" s="23" t="n">
        <v>19.3</v>
      </c>
      <c r="AQ387" s="33" t="n">
        <v>233</v>
      </c>
      <c r="AR387" s="34" t="n">
        <f aca="false">AQ387*0.55</f>
        <v>128.15</v>
      </c>
      <c r="AS387" s="34" t="n">
        <v>0</v>
      </c>
      <c r="AT387" s="33" t="n">
        <v>8.13</v>
      </c>
      <c r="AU387" s="23" t="n">
        <v>19.3</v>
      </c>
      <c r="AV387" s="33" t="n">
        <v>361.7</v>
      </c>
      <c r="AW387" s="34" t="n">
        <f aca="false">AV387*0.55</f>
        <v>198.935</v>
      </c>
      <c r="AX387" s="34" t="n">
        <v>0.8</v>
      </c>
      <c r="AY387" s="34" t="n">
        <v>0</v>
      </c>
    </row>
    <row r="388" customFormat="false" ht="15" hidden="false" customHeight="false" outlineLevel="0" collapsed="false">
      <c r="A388" s="16" t="n">
        <v>45601</v>
      </c>
      <c r="B388" s="2" t="s">
        <v>52</v>
      </c>
      <c r="C388" s="29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P388" s="21"/>
      <c r="AQ388" s="21"/>
      <c r="AR388" s="21"/>
      <c r="AS388" s="21"/>
      <c r="AT388" s="33" t="n">
        <v>8.14</v>
      </c>
      <c r="AU388" s="23" t="n">
        <v>19</v>
      </c>
      <c r="AV388" s="33" t="n">
        <v>395.3</v>
      </c>
      <c r="AW388" s="34" t="n">
        <f aca="false">AV388*0.55</f>
        <v>217.415</v>
      </c>
      <c r="AX388" s="34" t="n">
        <v>1</v>
      </c>
      <c r="AY388" s="34" t="n">
        <v>0</v>
      </c>
    </row>
    <row r="389" customFormat="false" ht="15" hidden="false" customHeight="false" outlineLevel="0" collapsed="false">
      <c r="A389" s="16" t="n">
        <v>45601</v>
      </c>
      <c r="B389" s="2" t="s">
        <v>57</v>
      </c>
      <c r="C389" s="32" t="n">
        <v>8.1</v>
      </c>
      <c r="D389" s="23" t="n">
        <v>20.8</v>
      </c>
      <c r="E389" s="33" t="n">
        <v>54.4</v>
      </c>
      <c r="F389" s="34" t="n">
        <f aca="false">0.65*E389</f>
        <v>35.36</v>
      </c>
      <c r="G389" s="33" t="n">
        <v>0.38</v>
      </c>
      <c r="H389" s="33" t="n">
        <v>8.09</v>
      </c>
      <c r="I389" s="23" t="n">
        <v>20.7</v>
      </c>
      <c r="J389" s="49"/>
      <c r="K389" s="49"/>
      <c r="L389" s="33" t="n">
        <v>1.05</v>
      </c>
      <c r="M389" s="33" t="n">
        <v>8.09</v>
      </c>
      <c r="N389" s="23" t="n">
        <v>20.7</v>
      </c>
      <c r="O389" s="49"/>
      <c r="P389" s="49"/>
      <c r="Q389" s="33" t="n">
        <v>1.09</v>
      </c>
      <c r="R389" s="34" t="n">
        <v>8.05</v>
      </c>
      <c r="S389" s="19" t="n">
        <v>19.7</v>
      </c>
      <c r="T389" s="49"/>
      <c r="U389" s="49"/>
      <c r="V389" s="34" t="n">
        <v>0</v>
      </c>
      <c r="W389" s="33" t="n">
        <v>8.05</v>
      </c>
      <c r="X389" s="19" t="n">
        <v>19.5</v>
      </c>
      <c r="Y389" s="49"/>
      <c r="Z389" s="49"/>
      <c r="AA389" s="34" t="n">
        <v>0</v>
      </c>
      <c r="AB389" s="33" t="n">
        <v>8.04</v>
      </c>
      <c r="AC389" s="23" t="n">
        <v>18.8</v>
      </c>
      <c r="AD389" s="33" t="n">
        <v>54.4</v>
      </c>
      <c r="AE389" s="34" t="n">
        <f aca="false">0.65*AD389</f>
        <v>35.36</v>
      </c>
      <c r="AF389" s="33"/>
      <c r="AG389" s="34" t="n">
        <v>0</v>
      </c>
      <c r="AH389" s="45"/>
      <c r="AI389" s="33" t="n">
        <v>8.04</v>
      </c>
      <c r="AJ389" s="23" t="n">
        <v>18.8</v>
      </c>
      <c r="AK389" s="33" t="n">
        <v>54.4</v>
      </c>
      <c r="AL389" s="34" t="n">
        <f aca="false">AK390*0.55</f>
        <v>29.865</v>
      </c>
      <c r="AM389" s="33"/>
      <c r="AN389" s="34" t="n">
        <v>0</v>
      </c>
      <c r="AO389" s="2" t="n">
        <v>6.51</v>
      </c>
      <c r="AP389" s="23" t="n">
        <v>19.2</v>
      </c>
      <c r="AQ389" s="33" t="n">
        <v>284</v>
      </c>
      <c r="AR389" s="34" t="n">
        <f aca="false">AQ390*0.55</f>
        <v>118.635</v>
      </c>
      <c r="AS389" s="34" t="n">
        <v>0</v>
      </c>
      <c r="AT389" s="33" t="n">
        <v>8.45</v>
      </c>
      <c r="AU389" s="23" t="n">
        <v>20</v>
      </c>
      <c r="AV389" s="33" t="n">
        <v>362.8</v>
      </c>
      <c r="AW389" s="54"/>
      <c r="AX389" s="34" t="n">
        <v>1</v>
      </c>
      <c r="AY389" s="34" t="n">
        <v>0</v>
      </c>
    </row>
    <row r="390" customFormat="false" ht="15" hidden="false" customHeight="false" outlineLevel="0" collapsed="false">
      <c r="A390" s="16" t="n">
        <v>45631</v>
      </c>
      <c r="B390" s="2" t="s">
        <v>51</v>
      </c>
      <c r="C390" s="32" t="n">
        <v>8.13</v>
      </c>
      <c r="D390" s="23" t="n">
        <v>19.3</v>
      </c>
      <c r="E390" s="33" t="n">
        <v>54.4</v>
      </c>
      <c r="F390" s="34" t="n">
        <f aca="false">E390*0.65</f>
        <v>35.36</v>
      </c>
      <c r="G390" s="33" t="n">
        <v>0.35</v>
      </c>
      <c r="H390" s="33" t="n">
        <v>8.12</v>
      </c>
      <c r="I390" s="23" t="n">
        <v>19.2</v>
      </c>
      <c r="J390" s="49"/>
      <c r="K390" s="37"/>
      <c r="L390" s="33" t="n">
        <v>0.78</v>
      </c>
      <c r="M390" s="33" t="n">
        <v>8.12</v>
      </c>
      <c r="N390" s="23" t="n">
        <v>19.2</v>
      </c>
      <c r="O390" s="49"/>
      <c r="P390" s="37"/>
      <c r="Q390" s="33" t="n">
        <v>0.82</v>
      </c>
      <c r="R390" s="33" t="n">
        <v>8.1</v>
      </c>
      <c r="S390" s="23" t="n">
        <v>18.7</v>
      </c>
      <c r="T390" s="49"/>
      <c r="U390" s="37"/>
      <c r="V390" s="34" t="n">
        <v>0</v>
      </c>
      <c r="W390" s="33" t="n">
        <v>8.1</v>
      </c>
      <c r="X390" s="23" t="n">
        <v>18.7</v>
      </c>
      <c r="Y390" s="49"/>
      <c r="Z390" s="37"/>
      <c r="AA390" s="34" t="n">
        <v>0</v>
      </c>
      <c r="AB390" s="33" t="n">
        <v>8.05</v>
      </c>
      <c r="AC390" s="23" t="n">
        <v>18.6</v>
      </c>
      <c r="AD390" s="33" t="n">
        <v>54.3</v>
      </c>
      <c r="AE390" s="34" t="n">
        <f aca="false">AD390*0.65</f>
        <v>35.295</v>
      </c>
      <c r="AF390" s="33"/>
      <c r="AG390" s="34" t="n">
        <v>0</v>
      </c>
      <c r="AH390" s="33"/>
      <c r="AI390" s="33" t="n">
        <v>8.05</v>
      </c>
      <c r="AJ390" s="23" t="n">
        <v>18.6</v>
      </c>
      <c r="AK390" s="33" t="n">
        <v>54.3</v>
      </c>
      <c r="AL390" s="34" t="n">
        <f aca="false">AK390*0.65</f>
        <v>35.295</v>
      </c>
      <c r="AM390" s="33"/>
      <c r="AN390" s="34" t="n">
        <v>0</v>
      </c>
      <c r="AO390" s="2" t="n">
        <v>6.72</v>
      </c>
      <c r="AP390" s="23" t="n">
        <v>18.7</v>
      </c>
      <c r="AQ390" s="33" t="n">
        <v>215.7</v>
      </c>
      <c r="AR390" s="34" t="n">
        <f aca="false">AQ390*0.55</f>
        <v>118.635</v>
      </c>
      <c r="AS390" s="34" t="n">
        <v>0</v>
      </c>
      <c r="AT390" s="33" t="n">
        <v>8.13</v>
      </c>
      <c r="AU390" s="23" t="n">
        <v>18.8</v>
      </c>
      <c r="AV390" s="33" t="n">
        <v>342.5</v>
      </c>
      <c r="AW390" s="34" t="n">
        <f aca="false">AV390*0.55</f>
        <v>188.375</v>
      </c>
      <c r="AX390" s="34" t="n">
        <v>0.9</v>
      </c>
      <c r="AY390" s="34" t="n">
        <v>0</v>
      </c>
    </row>
    <row r="391" customFormat="false" ht="15" hidden="false" customHeight="false" outlineLevel="0" collapsed="false">
      <c r="A391" s="16" t="n">
        <v>45627</v>
      </c>
      <c r="B391" s="2" t="s">
        <v>52</v>
      </c>
      <c r="C391" s="29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P391" s="21"/>
      <c r="AQ391" s="21"/>
      <c r="AR391" s="21"/>
      <c r="AS391" s="21"/>
      <c r="AT391" s="33" t="n">
        <v>8.16</v>
      </c>
      <c r="AU391" s="23" t="n">
        <v>19.5</v>
      </c>
      <c r="AV391" s="33" t="n">
        <v>334.35</v>
      </c>
      <c r="AW391" s="34" t="n">
        <f aca="false">AV391*0.55</f>
        <v>183.8925</v>
      </c>
      <c r="AX391" s="34" t="n">
        <v>1</v>
      </c>
      <c r="AY391" s="34" t="n">
        <v>0</v>
      </c>
    </row>
    <row r="392" customFormat="false" ht="15" hidden="false" customHeight="false" outlineLevel="0" collapsed="false">
      <c r="A392" s="16" t="n">
        <v>45631</v>
      </c>
      <c r="B392" s="2" t="s">
        <v>57</v>
      </c>
      <c r="C392" s="32" t="n">
        <v>8.17</v>
      </c>
      <c r="D392" s="23" t="n">
        <v>22.4</v>
      </c>
      <c r="E392" s="33" t="n">
        <v>54.4</v>
      </c>
      <c r="F392" s="34" t="n">
        <f aca="false">0.65*E392</f>
        <v>35.36</v>
      </c>
      <c r="G392" s="33" t="n">
        <v>0.2</v>
      </c>
      <c r="H392" s="33" t="n">
        <v>8.14</v>
      </c>
      <c r="I392" s="23" t="n">
        <v>20.1</v>
      </c>
      <c r="J392" s="49"/>
      <c r="K392" s="49"/>
      <c r="L392" s="33" t="n">
        <v>1.13</v>
      </c>
      <c r="M392" s="33" t="n">
        <v>8.14</v>
      </c>
      <c r="N392" s="23" t="n">
        <v>20.1</v>
      </c>
      <c r="O392" s="49"/>
      <c r="P392" s="49"/>
      <c r="Q392" s="33" t="n">
        <v>1.09</v>
      </c>
      <c r="R392" s="34" t="n">
        <v>8.12</v>
      </c>
      <c r="S392" s="19" t="n">
        <v>19.7</v>
      </c>
      <c r="T392" s="49"/>
      <c r="U392" s="49"/>
      <c r="V392" s="34" t="n">
        <v>0</v>
      </c>
      <c r="W392" s="33" t="n">
        <v>8.12</v>
      </c>
      <c r="X392" s="19" t="n">
        <v>19.7</v>
      </c>
      <c r="Y392" s="49"/>
      <c r="Z392" s="49"/>
      <c r="AA392" s="34" t="n">
        <v>0</v>
      </c>
      <c r="AB392" s="33" t="n">
        <v>8.13</v>
      </c>
      <c r="AC392" s="23" t="n">
        <v>18.6</v>
      </c>
      <c r="AD392" s="33" t="n">
        <v>54.2</v>
      </c>
      <c r="AE392" s="34" t="n">
        <f aca="false">0.65*AD392</f>
        <v>35.23</v>
      </c>
      <c r="AF392" s="33"/>
      <c r="AG392" s="34" t="n">
        <v>0</v>
      </c>
      <c r="AH392" s="45"/>
      <c r="AI392" s="33" t="n">
        <v>8.13</v>
      </c>
      <c r="AJ392" s="23" t="n">
        <v>18.6</v>
      </c>
      <c r="AK392" s="33" t="n">
        <v>54.2</v>
      </c>
      <c r="AL392" s="34" t="n">
        <f aca="false">AK393*0.55</f>
        <v>29.865</v>
      </c>
      <c r="AM392" s="33"/>
      <c r="AN392" s="34" t="n">
        <v>0</v>
      </c>
      <c r="AO392" s="2" t="n">
        <v>6.6</v>
      </c>
      <c r="AP392" s="23" t="n">
        <v>18.8</v>
      </c>
      <c r="AQ392" s="33" t="n">
        <v>223</v>
      </c>
      <c r="AR392" s="34" t="n">
        <f aca="false">AQ393*0.55</f>
        <v>122.65</v>
      </c>
      <c r="AS392" s="34" t="n">
        <v>0</v>
      </c>
      <c r="AT392" s="33" t="n">
        <v>8.15</v>
      </c>
      <c r="AU392" s="23" t="n">
        <v>19.1</v>
      </c>
      <c r="AV392" s="33" t="n">
        <v>349</v>
      </c>
      <c r="AW392" s="54"/>
      <c r="AX392" s="34" t="n">
        <v>1</v>
      </c>
      <c r="AY392" s="34" t="n">
        <v>0</v>
      </c>
    </row>
    <row r="393" customFormat="false" ht="15" hidden="false" customHeight="false" outlineLevel="0" collapsed="false">
      <c r="A393" s="16" t="s">
        <v>115</v>
      </c>
      <c r="B393" s="2" t="s">
        <v>51</v>
      </c>
      <c r="C393" s="32" t="n">
        <v>8.13</v>
      </c>
      <c r="D393" s="23" t="n">
        <v>18.9</v>
      </c>
      <c r="E393" s="33" t="n">
        <v>54.3</v>
      </c>
      <c r="F393" s="34" t="n">
        <f aca="false">E393*0.65</f>
        <v>35.295</v>
      </c>
      <c r="G393" s="33" t="n">
        <v>0.35</v>
      </c>
      <c r="H393" s="33" t="n">
        <v>8.12</v>
      </c>
      <c r="I393" s="23" t="n">
        <v>18.8</v>
      </c>
      <c r="J393" s="49"/>
      <c r="K393" s="37"/>
      <c r="L393" s="33" t="n">
        <v>0.63</v>
      </c>
      <c r="M393" s="33" t="n">
        <v>8.12</v>
      </c>
      <c r="N393" s="23" t="n">
        <v>18.8</v>
      </c>
      <c r="O393" s="49"/>
      <c r="P393" s="37"/>
      <c r="Q393" s="33" t="n">
        <v>0.72</v>
      </c>
      <c r="R393" s="33" t="n">
        <v>8.1</v>
      </c>
      <c r="S393" s="23" t="n">
        <v>18.7</v>
      </c>
      <c r="T393" s="49"/>
      <c r="U393" s="37"/>
      <c r="V393" s="34" t="n">
        <v>0</v>
      </c>
      <c r="W393" s="33" t="n">
        <v>8.1</v>
      </c>
      <c r="X393" s="23" t="n">
        <v>18.7</v>
      </c>
      <c r="Y393" s="49"/>
      <c r="Z393" s="37"/>
      <c r="AA393" s="34" t="n">
        <v>0</v>
      </c>
      <c r="AB393" s="33" t="n">
        <v>8.05</v>
      </c>
      <c r="AC393" s="23" t="n">
        <v>17.9</v>
      </c>
      <c r="AD393" s="33" t="n">
        <v>54.3</v>
      </c>
      <c r="AE393" s="34" t="n">
        <f aca="false">AD393*0.65</f>
        <v>35.295</v>
      </c>
      <c r="AF393" s="33"/>
      <c r="AG393" s="34" t="n">
        <v>0</v>
      </c>
      <c r="AH393" s="33"/>
      <c r="AI393" s="33" t="n">
        <v>8.07</v>
      </c>
      <c r="AJ393" s="23" t="n">
        <v>17.9</v>
      </c>
      <c r="AK393" s="33" t="n">
        <v>54.3</v>
      </c>
      <c r="AL393" s="34" t="n">
        <f aca="false">AK393*0.65</f>
        <v>35.295</v>
      </c>
      <c r="AM393" s="33"/>
      <c r="AN393" s="34" t="n">
        <v>0</v>
      </c>
      <c r="AO393" s="2" t="n">
        <v>6.53</v>
      </c>
      <c r="AP393" s="23" t="n">
        <v>18.3</v>
      </c>
      <c r="AQ393" s="33" t="n">
        <v>223</v>
      </c>
      <c r="AR393" s="34" t="n">
        <f aca="false">AQ393*0.55</f>
        <v>122.65</v>
      </c>
      <c r="AS393" s="34" t="n">
        <v>0</v>
      </c>
      <c r="AT393" s="33" t="n">
        <v>8.25</v>
      </c>
      <c r="AU393" s="23" t="n">
        <v>18.8</v>
      </c>
      <c r="AV393" s="33" t="n">
        <v>337.9</v>
      </c>
      <c r="AW393" s="34" t="n">
        <f aca="false">AV393*0.55</f>
        <v>185.845</v>
      </c>
      <c r="AX393" s="34" t="n">
        <v>0.9</v>
      </c>
      <c r="AY393" s="34" t="n">
        <v>0</v>
      </c>
    </row>
    <row r="394" customFormat="false" ht="15" hidden="false" customHeight="false" outlineLevel="0" collapsed="false">
      <c r="A394" s="16" t="s">
        <v>115</v>
      </c>
      <c r="B394" s="2" t="s">
        <v>52</v>
      </c>
      <c r="C394" s="32" t="n">
        <v>8.15</v>
      </c>
      <c r="D394" s="23" t="n">
        <v>19</v>
      </c>
      <c r="E394" s="33" t="n">
        <v>53.9</v>
      </c>
      <c r="F394" s="34" t="n">
        <f aca="false">0.65*E394</f>
        <v>35.035</v>
      </c>
      <c r="G394" s="33" t="n">
        <v>0.44</v>
      </c>
      <c r="H394" s="33" t="n">
        <v>8.13</v>
      </c>
      <c r="I394" s="23" t="n">
        <v>18.3</v>
      </c>
      <c r="J394" s="49"/>
      <c r="K394" s="49"/>
      <c r="L394" s="33" t="n">
        <v>0.26</v>
      </c>
      <c r="M394" s="33" t="n">
        <v>8.12</v>
      </c>
      <c r="N394" s="23" t="n">
        <v>18.3</v>
      </c>
      <c r="O394" s="49"/>
      <c r="P394" s="49"/>
      <c r="Q394" s="33" t="n">
        <v>0.24</v>
      </c>
      <c r="R394" s="34" t="n">
        <v>8.09</v>
      </c>
      <c r="S394" s="23" t="n">
        <v>18.2</v>
      </c>
      <c r="T394" s="49"/>
      <c r="U394" s="49"/>
      <c r="V394" s="34" t="n">
        <v>0</v>
      </c>
      <c r="W394" s="33" t="n">
        <v>8.09</v>
      </c>
      <c r="X394" s="23" t="n">
        <v>18.2</v>
      </c>
      <c r="Y394" s="49"/>
      <c r="Z394" s="49"/>
      <c r="AA394" s="34" t="n">
        <v>0</v>
      </c>
      <c r="AB394" s="33" t="n">
        <v>8.05</v>
      </c>
      <c r="AC394" s="23" t="n">
        <v>18.3</v>
      </c>
      <c r="AD394" s="33" t="n">
        <v>53.9</v>
      </c>
      <c r="AE394" s="34" t="n">
        <f aca="false">AD394*0.65</f>
        <v>35.035</v>
      </c>
      <c r="AF394" s="33"/>
      <c r="AG394" s="34" t="n">
        <v>0</v>
      </c>
      <c r="AH394" s="33" t="s">
        <v>75</v>
      </c>
      <c r="AI394" s="33" t="n">
        <v>8.05</v>
      </c>
      <c r="AJ394" s="23" t="n">
        <v>18.4</v>
      </c>
      <c r="AK394" s="33" t="n">
        <v>53.9</v>
      </c>
      <c r="AL394" s="34" t="n">
        <f aca="false">0.65*AK394</f>
        <v>35.035</v>
      </c>
      <c r="AM394" s="33"/>
      <c r="AN394" s="34" t="n">
        <v>0</v>
      </c>
      <c r="AO394" s="2" t="n">
        <v>6.47</v>
      </c>
      <c r="AP394" s="23" t="n">
        <v>18.8</v>
      </c>
      <c r="AQ394" s="33" t="n">
        <v>209</v>
      </c>
      <c r="AR394" s="34" t="n">
        <f aca="false">AQ394*0.55</f>
        <v>114.95</v>
      </c>
      <c r="AS394" s="34" t="n">
        <v>0</v>
      </c>
      <c r="AT394" s="33" t="n">
        <v>8.23</v>
      </c>
      <c r="AU394" s="23" t="n">
        <v>18.8</v>
      </c>
      <c r="AV394" s="33" t="n">
        <v>335.5</v>
      </c>
      <c r="AW394" s="34" t="n">
        <f aca="false">AV394*0.55</f>
        <v>184.525</v>
      </c>
      <c r="AX394" s="34" t="n">
        <v>0.9</v>
      </c>
      <c r="AY394" s="34" t="n">
        <v>0</v>
      </c>
    </row>
    <row r="395" customFormat="false" ht="15" hidden="false" customHeight="false" outlineLevel="0" collapsed="false">
      <c r="A395" s="16" t="s">
        <v>115</v>
      </c>
      <c r="B395" s="2" t="s">
        <v>57</v>
      </c>
      <c r="C395" s="32" t="n">
        <v>8.16</v>
      </c>
      <c r="D395" s="23" t="n">
        <v>21.3</v>
      </c>
      <c r="E395" s="33" t="n">
        <v>53.9</v>
      </c>
      <c r="F395" s="34" t="n">
        <f aca="false">0.65*E395</f>
        <v>35.035</v>
      </c>
      <c r="G395" s="33" t="n">
        <v>0.23</v>
      </c>
      <c r="H395" s="33" t="n">
        <v>8.12</v>
      </c>
      <c r="I395" s="23" t="n">
        <v>21</v>
      </c>
      <c r="J395" s="49"/>
      <c r="K395" s="49"/>
      <c r="L395" s="33" t="n">
        <v>0.44</v>
      </c>
      <c r="M395" s="33" t="n">
        <v>8.12</v>
      </c>
      <c r="N395" s="23" t="n">
        <v>21</v>
      </c>
      <c r="O395" s="49"/>
      <c r="P395" s="49"/>
      <c r="Q395" s="33" t="n">
        <v>0.46</v>
      </c>
      <c r="R395" s="34" t="n">
        <v>8.09</v>
      </c>
      <c r="S395" s="19" t="n">
        <v>19.3</v>
      </c>
      <c r="T395" s="49"/>
      <c r="U395" s="49"/>
      <c r="V395" s="34" t="n">
        <v>0</v>
      </c>
      <c r="W395" s="33" t="n">
        <v>8.09</v>
      </c>
      <c r="X395" s="19" t="n">
        <v>19.2</v>
      </c>
      <c r="Y395" s="49"/>
      <c r="Z395" s="49"/>
      <c r="AA395" s="34" t="n">
        <v>0</v>
      </c>
      <c r="AB395" s="33" t="n">
        <v>8.06</v>
      </c>
      <c r="AC395" s="23" t="n">
        <v>18.6</v>
      </c>
      <c r="AD395" s="33" t="n">
        <v>53.9</v>
      </c>
      <c r="AE395" s="34" t="n">
        <f aca="false">0.65*AD395</f>
        <v>35.035</v>
      </c>
      <c r="AF395" s="33"/>
      <c r="AG395" s="34" t="n">
        <v>0</v>
      </c>
      <c r="AH395" s="45"/>
      <c r="AI395" s="33" t="n">
        <v>8.06</v>
      </c>
      <c r="AJ395" s="23" t="n">
        <v>18.6</v>
      </c>
      <c r="AK395" s="33" t="n">
        <v>53.9</v>
      </c>
      <c r="AL395" s="34" t="n">
        <f aca="false">AK396*0.55</f>
        <v>29.7</v>
      </c>
      <c r="AM395" s="33"/>
      <c r="AN395" s="34" t="n">
        <v>0</v>
      </c>
      <c r="AO395" s="2" t="n">
        <v>6.49</v>
      </c>
      <c r="AP395" s="23" t="n">
        <v>18.9</v>
      </c>
      <c r="AQ395" s="33" t="n">
        <v>219</v>
      </c>
      <c r="AR395" s="34" t="n">
        <f aca="false">AQ396*0.55</f>
        <v>117.15</v>
      </c>
      <c r="AS395" s="34" t="n">
        <v>0</v>
      </c>
      <c r="AT395" s="33" t="n">
        <v>8.18</v>
      </c>
      <c r="AU395" s="23" t="n">
        <v>19.3</v>
      </c>
      <c r="AV395" s="33" t="n">
        <v>345.9</v>
      </c>
      <c r="AW395" s="54"/>
      <c r="AX395" s="34" t="n">
        <v>0.9</v>
      </c>
      <c r="AY395" s="34" t="n">
        <v>0</v>
      </c>
    </row>
    <row r="396" customFormat="false" ht="15" hidden="false" customHeight="false" outlineLevel="0" collapsed="false">
      <c r="A396" s="16" t="s">
        <v>116</v>
      </c>
      <c r="B396" s="2" t="s">
        <v>51</v>
      </c>
      <c r="C396" s="32" t="n">
        <v>8.1</v>
      </c>
      <c r="D396" s="23" t="n">
        <v>20.7</v>
      </c>
      <c r="E396" s="33" t="n">
        <v>54.1</v>
      </c>
      <c r="F396" s="34" t="n">
        <f aca="false">E396*0.65</f>
        <v>35.165</v>
      </c>
      <c r="G396" s="33" t="n">
        <v>0.16</v>
      </c>
      <c r="H396" s="33" t="n">
        <v>8.08</v>
      </c>
      <c r="I396" s="23" t="n">
        <v>19.1</v>
      </c>
      <c r="J396" s="49"/>
      <c r="K396" s="37"/>
      <c r="L396" s="33" t="n">
        <v>0.15</v>
      </c>
      <c r="M396" s="33" t="n">
        <v>8.09</v>
      </c>
      <c r="N396" s="23" t="n">
        <v>18.6</v>
      </c>
      <c r="O396" s="49"/>
      <c r="P396" s="37"/>
      <c r="Q396" s="33" t="n">
        <v>0.35</v>
      </c>
      <c r="R396" s="33" t="n">
        <v>8.1</v>
      </c>
      <c r="S396" s="23" t="n">
        <v>18.5</v>
      </c>
      <c r="T396" s="49"/>
      <c r="U396" s="37"/>
      <c r="V396" s="34" t="n">
        <v>0</v>
      </c>
      <c r="W396" s="33" t="n">
        <v>8.15</v>
      </c>
      <c r="X396" s="23" t="n">
        <v>18.5</v>
      </c>
      <c r="Y396" s="49"/>
      <c r="Z396" s="37"/>
      <c r="AA396" s="34" t="n">
        <v>0</v>
      </c>
      <c r="AB396" s="33" t="n">
        <v>8.1</v>
      </c>
      <c r="AC396" s="23" t="n">
        <v>18.9</v>
      </c>
      <c r="AD396" s="33" t="n">
        <v>54</v>
      </c>
      <c r="AE396" s="34" t="n">
        <f aca="false">AD396*0.65</f>
        <v>35.1</v>
      </c>
      <c r="AF396" s="33"/>
      <c r="AG396" s="34" t="n">
        <v>0</v>
      </c>
      <c r="AH396" s="33"/>
      <c r="AI396" s="33" t="n">
        <v>8.1</v>
      </c>
      <c r="AJ396" s="23" t="n">
        <v>18.9</v>
      </c>
      <c r="AK396" s="33" t="n">
        <v>54</v>
      </c>
      <c r="AL396" s="34" t="n">
        <f aca="false">AK396*0.65</f>
        <v>35.1</v>
      </c>
      <c r="AM396" s="33"/>
      <c r="AN396" s="34" t="n">
        <v>0</v>
      </c>
      <c r="AO396" s="2" t="n">
        <v>6.61</v>
      </c>
      <c r="AP396" s="23" t="n">
        <v>19.5</v>
      </c>
      <c r="AQ396" s="33" t="n">
        <v>213</v>
      </c>
      <c r="AR396" s="34" t="n">
        <f aca="false">AQ396*0.55</f>
        <v>117.15</v>
      </c>
      <c r="AS396" s="34" t="n">
        <v>0</v>
      </c>
      <c r="AT396" s="33" t="n">
        <v>8.47</v>
      </c>
      <c r="AU396" s="23" t="n">
        <v>19.6</v>
      </c>
      <c r="AV396" s="33" t="n">
        <v>351.4</v>
      </c>
      <c r="AW396" s="34" t="n">
        <f aca="false">AV396*0.55</f>
        <v>193.27</v>
      </c>
      <c r="AX396" s="34" t="n">
        <v>0.9</v>
      </c>
      <c r="AY396" s="34" t="n">
        <v>0</v>
      </c>
    </row>
    <row r="397" customFormat="false" ht="15" hidden="false" customHeight="false" outlineLevel="0" collapsed="false">
      <c r="A397" s="16" t="s">
        <v>116</v>
      </c>
      <c r="B397" s="2" t="s">
        <v>52</v>
      </c>
      <c r="C397" s="32" t="n">
        <v>8.12</v>
      </c>
      <c r="D397" s="23" t="n">
        <v>19.6</v>
      </c>
      <c r="E397" s="33" t="n">
        <v>54</v>
      </c>
      <c r="F397" s="34" t="n">
        <f aca="false">0.65*E397</f>
        <v>35.1</v>
      </c>
      <c r="G397" s="33" t="n">
        <v>0.1</v>
      </c>
      <c r="H397" s="33" t="n">
        <v>8.1</v>
      </c>
      <c r="I397" s="23" t="n">
        <v>18.8</v>
      </c>
      <c r="J397" s="49"/>
      <c r="K397" s="49"/>
      <c r="L397" s="33" t="n">
        <v>0.17</v>
      </c>
      <c r="M397" s="33" t="n">
        <v>8.1</v>
      </c>
      <c r="N397" s="23" t="n">
        <v>18.9</v>
      </c>
      <c r="O397" s="49"/>
      <c r="P397" s="49"/>
      <c r="Q397" s="33" t="n">
        <v>0.19</v>
      </c>
      <c r="R397" s="34" t="n">
        <v>8.08</v>
      </c>
      <c r="S397" s="23" t="n">
        <v>18.8</v>
      </c>
      <c r="T397" s="49"/>
      <c r="U397" s="49"/>
      <c r="V397" s="34" t="n">
        <v>0</v>
      </c>
      <c r="W397" s="33" t="n">
        <v>8.08</v>
      </c>
      <c r="X397" s="23" t="n">
        <v>18.9</v>
      </c>
      <c r="Y397" s="49"/>
      <c r="Z397" s="49"/>
      <c r="AA397" s="34" t="n">
        <v>0</v>
      </c>
      <c r="AB397" s="33" t="n">
        <v>8.05</v>
      </c>
      <c r="AC397" s="23" t="n">
        <v>18.7</v>
      </c>
      <c r="AD397" s="33" t="n">
        <v>53.8</v>
      </c>
      <c r="AE397" s="34" t="n">
        <f aca="false">AD397*0.65</f>
        <v>34.97</v>
      </c>
      <c r="AF397" s="33"/>
      <c r="AG397" s="34" t="n">
        <v>0</v>
      </c>
      <c r="AH397" s="33" t="s">
        <v>75</v>
      </c>
      <c r="AI397" s="33" t="n">
        <v>8.06</v>
      </c>
      <c r="AJ397" s="23" t="n">
        <v>18.7</v>
      </c>
      <c r="AK397" s="33" t="n">
        <v>53.8</v>
      </c>
      <c r="AL397" s="34" t="n">
        <f aca="false">0.65*AK397</f>
        <v>34.97</v>
      </c>
      <c r="AM397" s="33"/>
      <c r="AN397" s="34" t="n">
        <v>0</v>
      </c>
      <c r="AO397" s="2" t="n">
        <v>6.38</v>
      </c>
      <c r="AP397" s="23" t="n">
        <v>19.4</v>
      </c>
      <c r="AQ397" s="33" t="n">
        <v>215</v>
      </c>
      <c r="AR397" s="34" t="n">
        <f aca="false">AQ397*0.55</f>
        <v>118.25</v>
      </c>
      <c r="AS397" s="34" t="n">
        <v>0</v>
      </c>
      <c r="AT397" s="33" t="n">
        <v>8.18</v>
      </c>
      <c r="AU397" s="23" t="n">
        <v>19.6</v>
      </c>
      <c r="AV397" s="33" t="n">
        <v>361</v>
      </c>
      <c r="AW397" s="34" t="n">
        <f aca="false">AV397*0.55</f>
        <v>198.55</v>
      </c>
      <c r="AX397" s="34" t="n">
        <v>1</v>
      </c>
      <c r="AY397" s="34" t="n">
        <v>0</v>
      </c>
    </row>
    <row r="398" customFormat="false" ht="15" hidden="false" customHeight="false" outlineLevel="0" collapsed="false">
      <c r="A398" s="16" t="s">
        <v>116</v>
      </c>
      <c r="B398" s="2" t="s">
        <v>57</v>
      </c>
      <c r="C398" s="32" t="n">
        <v>8.13</v>
      </c>
      <c r="D398" s="23" t="n">
        <v>20.3</v>
      </c>
      <c r="E398" s="33" t="n">
        <v>54.1</v>
      </c>
      <c r="F398" s="34" t="n">
        <f aca="false">0.65*E398</f>
        <v>35.165</v>
      </c>
      <c r="G398" s="33" t="n">
        <v>0.12</v>
      </c>
      <c r="H398" s="33" t="n">
        <v>8.12</v>
      </c>
      <c r="I398" s="23" t="n">
        <v>20.2</v>
      </c>
      <c r="J398" s="49"/>
      <c r="K398" s="49"/>
      <c r="L398" s="33" t="n">
        <v>0.17</v>
      </c>
      <c r="M398" s="33" t="n">
        <v>8.12</v>
      </c>
      <c r="N398" s="23" t="n">
        <v>20.2</v>
      </c>
      <c r="O398" s="49"/>
      <c r="P398" s="49"/>
      <c r="Q398" s="33" t="n">
        <v>0.23</v>
      </c>
      <c r="R398" s="34" t="n">
        <v>8.1</v>
      </c>
      <c r="S398" s="19" t="n">
        <v>20</v>
      </c>
      <c r="T398" s="49"/>
      <c r="U398" s="49"/>
      <c r="V398" s="34" t="n">
        <v>0</v>
      </c>
      <c r="W398" s="33" t="n">
        <v>8.1</v>
      </c>
      <c r="X398" s="19" t="n">
        <v>20</v>
      </c>
      <c r="Y398" s="49"/>
      <c r="Z398" s="49"/>
      <c r="AA398" s="34" t="n">
        <v>0</v>
      </c>
      <c r="AB398" s="33" t="n">
        <v>8.03</v>
      </c>
      <c r="AC398" s="23" t="n">
        <v>18.9</v>
      </c>
      <c r="AD398" s="33" t="n">
        <v>54</v>
      </c>
      <c r="AE398" s="34" t="n">
        <f aca="false">0.65*AD398</f>
        <v>35.1</v>
      </c>
      <c r="AF398" s="33"/>
      <c r="AG398" s="34" t="n">
        <v>0</v>
      </c>
      <c r="AH398" s="45"/>
      <c r="AI398" s="33" t="n">
        <v>8.03</v>
      </c>
      <c r="AJ398" s="23" t="n">
        <v>19</v>
      </c>
      <c r="AK398" s="33" t="n">
        <v>53.9</v>
      </c>
      <c r="AL398" s="34" t="n">
        <f aca="false">AK399*0.55</f>
        <v>29.645</v>
      </c>
      <c r="AM398" s="33"/>
      <c r="AN398" s="34" t="n">
        <v>0</v>
      </c>
      <c r="AO398" s="2" t="n">
        <v>6.37</v>
      </c>
      <c r="AP398" s="23" t="n">
        <v>19.6</v>
      </c>
      <c r="AQ398" s="33" t="n">
        <v>236</v>
      </c>
      <c r="AR398" s="34" t="n">
        <f aca="false">AQ399*0.55</f>
        <v>117.15</v>
      </c>
      <c r="AS398" s="34" t="n">
        <v>0</v>
      </c>
      <c r="AT398" s="33" t="n">
        <v>8.15</v>
      </c>
      <c r="AU398" s="23" t="n">
        <v>20.1</v>
      </c>
      <c r="AV398" s="33" t="n">
        <v>355.1</v>
      </c>
      <c r="AW398" s="54"/>
      <c r="AX398" s="34"/>
      <c r="AY398" s="34" t="n">
        <v>0</v>
      </c>
    </row>
    <row r="399" customFormat="false" ht="15" hidden="false" customHeight="false" outlineLevel="0" collapsed="false">
      <c r="A399" s="16" t="s">
        <v>117</v>
      </c>
      <c r="B399" s="2" t="s">
        <v>51</v>
      </c>
      <c r="C399" s="32" t="n">
        <v>8.14</v>
      </c>
      <c r="D399" s="23" t="n">
        <v>19.8</v>
      </c>
      <c r="E399" s="33" t="n">
        <v>53.9</v>
      </c>
      <c r="F399" s="34" t="n">
        <f aca="false">E399*0.65</f>
        <v>35.035</v>
      </c>
      <c r="G399" s="33" t="n">
        <v>0.36</v>
      </c>
      <c r="H399" s="33" t="n">
        <v>8.12</v>
      </c>
      <c r="I399" s="23" t="n">
        <v>19.4</v>
      </c>
      <c r="J399" s="49"/>
      <c r="K399" s="37"/>
      <c r="L399" s="33" t="n">
        <v>0.32</v>
      </c>
      <c r="M399" s="33" t="n">
        <v>8.12</v>
      </c>
      <c r="N399" s="23" t="n">
        <v>19.4</v>
      </c>
      <c r="O399" s="49"/>
      <c r="P399" s="37"/>
      <c r="Q399" s="33" t="n">
        <v>0.29</v>
      </c>
      <c r="R399" s="33" t="n">
        <v>8.1</v>
      </c>
      <c r="S399" s="23" t="n">
        <v>19.2</v>
      </c>
      <c r="T399" s="49"/>
      <c r="U399" s="37"/>
      <c r="V399" s="34" t="n">
        <v>0</v>
      </c>
      <c r="W399" s="33" t="n">
        <v>8.1</v>
      </c>
      <c r="X399" s="23" t="n">
        <v>19.2</v>
      </c>
      <c r="Y399" s="49"/>
      <c r="Z399" s="37"/>
      <c r="AA399" s="34" t="n">
        <v>0</v>
      </c>
      <c r="AB399" s="33" t="n">
        <v>8.05</v>
      </c>
      <c r="AC399" s="23" t="n">
        <v>18.6</v>
      </c>
      <c r="AD399" s="33" t="n">
        <v>53.9</v>
      </c>
      <c r="AE399" s="34" t="n">
        <f aca="false">AD399*0.65</f>
        <v>35.035</v>
      </c>
      <c r="AF399" s="33"/>
      <c r="AG399" s="34" t="n">
        <v>0</v>
      </c>
      <c r="AH399" s="33"/>
      <c r="AI399" s="33" t="n">
        <v>8.05</v>
      </c>
      <c r="AJ399" s="23" t="n">
        <v>18.6</v>
      </c>
      <c r="AK399" s="33" t="n">
        <v>53.9</v>
      </c>
      <c r="AL399" s="34" t="n">
        <f aca="false">AK399*0.65</f>
        <v>35.035</v>
      </c>
      <c r="AM399" s="33"/>
      <c r="AN399" s="34" t="n">
        <v>0</v>
      </c>
      <c r="AO399" s="2" t="n">
        <v>6.59</v>
      </c>
      <c r="AP399" s="23" t="n">
        <v>19.5</v>
      </c>
      <c r="AQ399" s="33" t="n">
        <v>213</v>
      </c>
      <c r="AR399" s="34" t="n">
        <f aca="false">AQ399*0.55</f>
        <v>117.15</v>
      </c>
      <c r="AS399" s="34" t="n">
        <v>0</v>
      </c>
      <c r="AT399" s="33" t="n">
        <v>8.32</v>
      </c>
      <c r="AU399" s="23" t="n">
        <v>20.3</v>
      </c>
      <c r="AV399" s="33" t="n">
        <v>375</v>
      </c>
      <c r="AW399" s="34" t="n">
        <f aca="false">AV399*0.55</f>
        <v>206.25</v>
      </c>
      <c r="AX399" s="34" t="n">
        <v>0.6</v>
      </c>
      <c r="AY399" s="34" t="n">
        <v>0</v>
      </c>
    </row>
    <row r="400" customFormat="false" ht="15" hidden="false" customHeight="false" outlineLevel="0" collapsed="false">
      <c r="A400" s="16" t="s">
        <v>117</v>
      </c>
      <c r="B400" s="2" t="s">
        <v>52</v>
      </c>
      <c r="C400" s="29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</row>
    <row r="401" customFormat="false" ht="15" hidden="false" customHeight="false" outlineLevel="0" collapsed="false">
      <c r="A401" s="16" t="s">
        <v>117</v>
      </c>
      <c r="B401" s="2" t="s">
        <v>57</v>
      </c>
      <c r="C401" s="29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</row>
    <row r="402" customFormat="false" ht="15" hidden="false" customHeight="false" outlineLevel="0" collapsed="false">
      <c r="A402" s="16" t="s">
        <v>118</v>
      </c>
      <c r="B402" s="2" t="s">
        <v>51</v>
      </c>
      <c r="C402" s="32" t="n">
        <v>8.14</v>
      </c>
      <c r="D402" s="23" t="n">
        <v>20.9</v>
      </c>
      <c r="E402" s="33" t="n">
        <v>53.8</v>
      </c>
      <c r="F402" s="34" t="n">
        <f aca="false">E402*0.65</f>
        <v>34.97</v>
      </c>
      <c r="G402" s="33" t="n">
        <v>0.1</v>
      </c>
      <c r="H402" s="33" t="n">
        <v>8.11</v>
      </c>
      <c r="I402" s="23" t="n">
        <v>19.7</v>
      </c>
      <c r="J402" s="49"/>
      <c r="K402" s="37"/>
      <c r="L402" s="33" t="n">
        <v>0.23</v>
      </c>
      <c r="M402" s="33" t="n">
        <v>8.11</v>
      </c>
      <c r="N402" s="23" t="n">
        <v>19.7</v>
      </c>
      <c r="O402" s="49"/>
      <c r="P402" s="37"/>
      <c r="Q402" s="33" t="n">
        <v>0.15</v>
      </c>
      <c r="R402" s="33" t="n">
        <v>8.09</v>
      </c>
      <c r="S402" s="23" t="n">
        <v>19.6</v>
      </c>
      <c r="T402" s="49"/>
      <c r="U402" s="37"/>
      <c r="V402" s="34" t="n">
        <v>0</v>
      </c>
      <c r="W402" s="33" t="n">
        <v>8.09</v>
      </c>
      <c r="X402" s="23" t="n">
        <v>19.6</v>
      </c>
      <c r="Y402" s="49"/>
      <c r="Z402" s="37"/>
      <c r="AA402" s="34" t="n">
        <v>0</v>
      </c>
      <c r="AB402" s="33" t="n">
        <v>8.07</v>
      </c>
      <c r="AC402" s="23" t="n">
        <v>19.7</v>
      </c>
      <c r="AD402" s="33" t="n">
        <v>53.8</v>
      </c>
      <c r="AE402" s="34" t="n">
        <f aca="false">AD402*0.65</f>
        <v>34.97</v>
      </c>
      <c r="AF402" s="33"/>
      <c r="AG402" s="34" t="n">
        <v>0</v>
      </c>
      <c r="AH402" s="33"/>
      <c r="AI402" s="33" t="n">
        <v>8.07</v>
      </c>
      <c r="AJ402" s="23" t="n">
        <v>19.7</v>
      </c>
      <c r="AK402" s="33" t="n">
        <v>53.8</v>
      </c>
      <c r="AL402" s="34" t="n">
        <f aca="false">AK402*0.65</f>
        <v>34.97</v>
      </c>
      <c r="AM402" s="33"/>
      <c r="AN402" s="34" t="n">
        <v>0</v>
      </c>
      <c r="AO402" s="2" t="n">
        <v>6.4</v>
      </c>
      <c r="AP402" s="23" t="n">
        <v>20.1</v>
      </c>
      <c r="AQ402" s="33" t="n">
        <v>258</v>
      </c>
      <c r="AR402" s="34" t="n">
        <f aca="false">AQ402*0.55</f>
        <v>141.9</v>
      </c>
      <c r="AS402" s="34" t="n">
        <v>0</v>
      </c>
      <c r="AT402" s="33" t="n">
        <v>8.11</v>
      </c>
      <c r="AU402" s="23" t="n">
        <v>20.7</v>
      </c>
      <c r="AV402" s="33" t="n">
        <v>391.3</v>
      </c>
      <c r="AW402" s="34" t="n">
        <f aca="false">AV402*0.55</f>
        <v>215.215</v>
      </c>
      <c r="AX402" s="34" t="n">
        <v>0.9</v>
      </c>
      <c r="AY402" s="34" t="n">
        <v>0</v>
      </c>
    </row>
    <row r="403" customFormat="false" ht="15" hidden="false" customHeight="false" outlineLevel="0" collapsed="false">
      <c r="A403" s="16" t="s">
        <v>118</v>
      </c>
      <c r="B403" s="2" t="s">
        <v>52</v>
      </c>
      <c r="C403" s="32" t="n">
        <v>8.14</v>
      </c>
      <c r="D403" s="23" t="n">
        <v>20.8</v>
      </c>
      <c r="E403" s="33" t="n">
        <v>54</v>
      </c>
      <c r="F403" s="33" t="n">
        <f aca="false">0.65*E403</f>
        <v>35.1</v>
      </c>
      <c r="G403" s="33" t="n">
        <v>0.01</v>
      </c>
      <c r="H403" s="33" t="n">
        <v>8.12</v>
      </c>
      <c r="I403" s="23" t="n">
        <v>20.1</v>
      </c>
      <c r="J403" s="53"/>
      <c r="K403" s="53"/>
      <c r="L403" s="33" t="n">
        <v>0.01</v>
      </c>
      <c r="M403" s="33" t="n">
        <v>8.12</v>
      </c>
      <c r="N403" s="23" t="n">
        <v>20.1</v>
      </c>
      <c r="O403" s="53"/>
      <c r="P403" s="53"/>
      <c r="Q403" s="33" t="n">
        <v>0.01</v>
      </c>
      <c r="R403" s="33" t="n">
        <v>8.1</v>
      </c>
      <c r="S403" s="23" t="n">
        <v>19.6</v>
      </c>
      <c r="T403" s="53"/>
      <c r="U403" s="53"/>
      <c r="V403" s="33" t="n">
        <v>0</v>
      </c>
      <c r="W403" s="33" t="n">
        <v>8.09</v>
      </c>
      <c r="X403" s="23" t="n">
        <v>19.6</v>
      </c>
      <c r="Y403" s="53"/>
      <c r="Z403" s="53"/>
      <c r="AA403" s="33" t="n">
        <v>0</v>
      </c>
      <c r="AB403" s="33" t="n">
        <v>8.06</v>
      </c>
      <c r="AC403" s="23" t="n">
        <v>20</v>
      </c>
      <c r="AD403" s="33"/>
      <c r="AE403" s="33" t="n">
        <f aca="false">AD403*0.65</f>
        <v>0</v>
      </c>
      <c r="AF403" s="33"/>
      <c r="AG403" s="33" t="n">
        <v>0</v>
      </c>
      <c r="AH403" s="33" t="s">
        <v>75</v>
      </c>
      <c r="AI403" s="33" t="n">
        <v>8.05</v>
      </c>
      <c r="AJ403" s="23" t="n">
        <v>20</v>
      </c>
      <c r="AK403" s="33"/>
      <c r="AL403" s="33" t="n">
        <f aca="false">0.65*AK403</f>
        <v>0</v>
      </c>
      <c r="AM403" s="33"/>
      <c r="AN403" s="33" t="n">
        <v>0</v>
      </c>
      <c r="AO403" s="2" t="n">
        <v>6.42</v>
      </c>
      <c r="AP403" s="23" t="n">
        <v>20.2</v>
      </c>
      <c r="AQ403" s="33" t="n">
        <v>257</v>
      </c>
      <c r="AR403" s="33" t="n">
        <f aca="false">AQ403*0.55</f>
        <v>141.35</v>
      </c>
      <c r="AS403" s="33" t="n">
        <v>0</v>
      </c>
      <c r="AT403" s="33" t="n">
        <v>8.11</v>
      </c>
      <c r="AU403" s="23" t="n">
        <v>20.6</v>
      </c>
      <c r="AV403" s="33" t="n">
        <v>396.7</v>
      </c>
      <c r="AW403" s="33" t="n">
        <f aca="false">AV403*0.55</f>
        <v>218.185</v>
      </c>
      <c r="AX403" s="33" t="n">
        <v>1</v>
      </c>
      <c r="AY403" s="33" t="n">
        <v>0</v>
      </c>
    </row>
    <row r="404" customFormat="false" ht="15" hidden="false" customHeight="false" outlineLevel="0" collapsed="false">
      <c r="A404" s="16" t="s">
        <v>118</v>
      </c>
      <c r="B404" s="2" t="s">
        <v>57</v>
      </c>
      <c r="C404" s="32" t="n">
        <v>8.1</v>
      </c>
      <c r="D404" s="23" t="n">
        <v>21.2</v>
      </c>
      <c r="E404" s="33" t="n">
        <v>54</v>
      </c>
      <c r="F404" s="34" t="n">
        <f aca="false">0.65*E404</f>
        <v>35.1</v>
      </c>
      <c r="G404" s="33" t="n">
        <v>0.01</v>
      </c>
      <c r="H404" s="33" t="n">
        <v>8.07</v>
      </c>
      <c r="I404" s="23" t="n">
        <v>19.9</v>
      </c>
      <c r="J404" s="49"/>
      <c r="K404" s="49"/>
      <c r="L404" s="33" t="n">
        <v>0.3</v>
      </c>
      <c r="M404" s="33" t="n">
        <v>8.07</v>
      </c>
      <c r="N404" s="23" t="n">
        <v>19.9</v>
      </c>
      <c r="O404" s="49"/>
      <c r="P404" s="49"/>
      <c r="Q404" s="33" t="n">
        <v>0.3</v>
      </c>
      <c r="R404" s="34" t="n">
        <v>8.06</v>
      </c>
      <c r="S404" s="19" t="n">
        <v>20</v>
      </c>
      <c r="T404" s="49"/>
      <c r="U404" s="49"/>
      <c r="V404" s="34" t="n">
        <v>0</v>
      </c>
      <c r="W404" s="33" t="n">
        <v>8.06</v>
      </c>
      <c r="X404" s="19" t="n">
        <v>20</v>
      </c>
      <c r="Y404" s="49"/>
      <c r="Z404" s="49"/>
      <c r="AA404" s="34" t="n">
        <v>0</v>
      </c>
      <c r="AB404" s="33" t="n">
        <v>8.03</v>
      </c>
      <c r="AC404" s="23" t="n">
        <v>20.1</v>
      </c>
      <c r="AD404" s="33" t="n">
        <v>53.6</v>
      </c>
      <c r="AE404" s="34" t="n">
        <f aca="false">0.65*AD404</f>
        <v>34.84</v>
      </c>
      <c r="AF404" s="33"/>
      <c r="AG404" s="34" t="n">
        <v>0</v>
      </c>
      <c r="AH404" s="45"/>
      <c r="AI404" s="33" t="n">
        <v>8.03</v>
      </c>
      <c r="AJ404" s="23" t="n">
        <v>20.1</v>
      </c>
      <c r="AK404" s="33" t="n">
        <v>53.6</v>
      </c>
      <c r="AL404" s="34" t="n">
        <f aca="false">AK405*0.55</f>
        <v>0</v>
      </c>
      <c r="AM404" s="33"/>
      <c r="AN404" s="34" t="n">
        <v>0</v>
      </c>
      <c r="AO404" s="2" t="n">
        <v>6.44</v>
      </c>
      <c r="AP404" s="23" t="n">
        <v>20.3</v>
      </c>
      <c r="AQ404" s="33" t="n">
        <v>272</v>
      </c>
      <c r="AR404" s="34" t="n">
        <f aca="false">AQ405*0.55</f>
        <v>0</v>
      </c>
      <c r="AS404" s="34" t="n">
        <v>0</v>
      </c>
      <c r="AT404" s="33" t="n">
        <v>8.15</v>
      </c>
      <c r="AU404" s="23" t="n">
        <v>20.6</v>
      </c>
      <c r="AV404" s="33" t="n">
        <v>393.4</v>
      </c>
      <c r="AW404" s="54"/>
      <c r="AX404" s="34" t="n">
        <v>0.9</v>
      </c>
      <c r="AY404" s="34" t="n">
        <v>0</v>
      </c>
    </row>
    <row r="405" customFormat="false" ht="15" hidden="false" customHeight="false" outlineLevel="0" collapsed="false">
      <c r="A405" s="16" t="s">
        <v>119</v>
      </c>
      <c r="B405" s="2" t="s">
        <v>51</v>
      </c>
      <c r="C405" s="29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</row>
    <row r="406" customFormat="false" ht="15" hidden="false" customHeight="false" outlineLevel="0" collapsed="false">
      <c r="A406" s="16" t="s">
        <v>119</v>
      </c>
      <c r="B406" s="2" t="s">
        <v>52</v>
      </c>
      <c r="C406" s="29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</row>
    <row r="407" customFormat="false" ht="15" hidden="false" customHeight="false" outlineLevel="0" collapsed="false">
      <c r="A407" s="16" t="s">
        <v>119</v>
      </c>
      <c r="B407" s="2" t="s">
        <v>57</v>
      </c>
      <c r="C407" s="29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</row>
    <row r="408" customFormat="false" ht="15" hidden="false" customHeight="false" outlineLevel="0" collapsed="false">
      <c r="A408" s="16" t="s">
        <v>120</v>
      </c>
      <c r="B408" s="2" t="s">
        <v>51</v>
      </c>
      <c r="C408" s="32" t="n">
        <v>8.14</v>
      </c>
      <c r="D408" s="23" t="n">
        <v>20.1</v>
      </c>
      <c r="E408" s="33" t="n">
        <v>54</v>
      </c>
      <c r="F408" s="34" t="n">
        <f aca="false">E408*0.65</f>
        <v>35.1</v>
      </c>
      <c r="G408" s="33" t="n">
        <v>0.1</v>
      </c>
      <c r="H408" s="33" t="n">
        <v>8.12</v>
      </c>
      <c r="I408" s="23" t="n">
        <v>21.1</v>
      </c>
      <c r="J408" s="49"/>
      <c r="K408" s="37"/>
      <c r="L408" s="33" t="n">
        <v>0.34</v>
      </c>
      <c r="M408" s="33" t="n">
        <v>8.12</v>
      </c>
      <c r="N408" s="23" t="n">
        <v>21.1</v>
      </c>
      <c r="O408" s="49"/>
      <c r="P408" s="37"/>
      <c r="Q408" s="33" t="n">
        <v>0.42</v>
      </c>
      <c r="R408" s="33" t="n">
        <v>8.08</v>
      </c>
      <c r="S408" s="23" t="n">
        <v>19.6</v>
      </c>
      <c r="T408" s="49"/>
      <c r="U408" s="37"/>
      <c r="V408" s="34" t="n">
        <v>0</v>
      </c>
      <c r="W408" s="33" t="n">
        <v>8.09</v>
      </c>
      <c r="X408" s="23" t="n">
        <v>19.6</v>
      </c>
      <c r="Y408" s="49"/>
      <c r="Z408" s="37"/>
      <c r="AA408" s="34" t="n">
        <v>0</v>
      </c>
      <c r="AB408" s="33" t="n">
        <v>8.09</v>
      </c>
      <c r="AC408" s="23" t="n">
        <v>20</v>
      </c>
      <c r="AD408" s="33" t="n">
        <v>53.9</v>
      </c>
      <c r="AE408" s="34" t="n">
        <f aca="false">AD408*0.65</f>
        <v>35.035</v>
      </c>
      <c r="AF408" s="33"/>
      <c r="AG408" s="34" t="n">
        <v>0</v>
      </c>
      <c r="AH408" s="33"/>
      <c r="AI408" s="33" t="n">
        <v>8.02</v>
      </c>
      <c r="AJ408" s="23" t="n">
        <v>20</v>
      </c>
      <c r="AK408" s="33" t="n">
        <v>53.9</v>
      </c>
      <c r="AL408" s="34" t="n">
        <f aca="false">AK408*0.65</f>
        <v>35.035</v>
      </c>
      <c r="AM408" s="33"/>
      <c r="AN408" s="34" t="n">
        <v>0</v>
      </c>
      <c r="AO408" s="2" t="n">
        <v>6.37</v>
      </c>
      <c r="AP408" s="23" t="n">
        <v>20.2</v>
      </c>
      <c r="AQ408" s="33" t="n">
        <v>274.5</v>
      </c>
      <c r="AR408" s="34" t="n">
        <f aca="false">AQ408*0.55</f>
        <v>150.975</v>
      </c>
      <c r="AS408" s="34" t="n">
        <v>0</v>
      </c>
      <c r="AT408" s="33" t="n">
        <v>8.2</v>
      </c>
      <c r="AU408" s="23" t="n">
        <v>20.6</v>
      </c>
      <c r="AV408" s="33" t="n">
        <v>409.9</v>
      </c>
      <c r="AW408" s="34" t="n">
        <f aca="false">AV408*0.55</f>
        <v>225.445</v>
      </c>
      <c r="AX408" s="34" t="n">
        <v>0</v>
      </c>
      <c r="AY408" s="34" t="n">
        <v>0</v>
      </c>
    </row>
    <row r="409" customFormat="false" ht="15" hidden="false" customHeight="false" outlineLevel="0" collapsed="false">
      <c r="A409" s="16" t="s">
        <v>120</v>
      </c>
      <c r="B409" s="2" t="s">
        <v>52</v>
      </c>
      <c r="C409" s="32" t="n">
        <v>8.13</v>
      </c>
      <c r="D409" s="23" t="n">
        <v>22.3</v>
      </c>
      <c r="E409" s="33" t="n">
        <v>54.4</v>
      </c>
      <c r="F409" s="33" t="n">
        <f aca="false">0.65*E409</f>
        <v>35.36</v>
      </c>
      <c r="G409" s="33" t="n">
        <v>0.01</v>
      </c>
      <c r="H409" s="33" t="n">
        <v>8.11</v>
      </c>
      <c r="I409" s="23" t="n">
        <v>22</v>
      </c>
      <c r="J409" s="53"/>
      <c r="K409" s="53"/>
      <c r="L409" s="33" t="n">
        <v>0.01</v>
      </c>
      <c r="M409" s="33" t="n">
        <v>8.11</v>
      </c>
      <c r="N409" s="23" t="n">
        <v>22</v>
      </c>
      <c r="O409" s="53"/>
      <c r="P409" s="53"/>
      <c r="Q409" s="33" t="n">
        <v>0.01</v>
      </c>
      <c r="R409" s="33" t="n">
        <v>8.09</v>
      </c>
      <c r="S409" s="23" t="n">
        <v>21.3</v>
      </c>
      <c r="T409" s="53"/>
      <c r="U409" s="53"/>
      <c r="V409" s="33" t="n">
        <v>0</v>
      </c>
      <c r="W409" s="33" t="n">
        <v>8.09</v>
      </c>
      <c r="X409" s="23" t="n">
        <v>21.3</v>
      </c>
      <c r="Y409" s="53"/>
      <c r="Z409" s="53"/>
      <c r="AA409" s="33" t="n">
        <v>0</v>
      </c>
      <c r="AB409" s="33" t="n">
        <v>8.06</v>
      </c>
      <c r="AC409" s="23" t="n">
        <v>21</v>
      </c>
      <c r="AD409" s="33" t="n">
        <v>54.3</v>
      </c>
      <c r="AE409" s="33" t="n">
        <f aca="false">AD409*0.65</f>
        <v>35.295</v>
      </c>
      <c r="AF409" s="33"/>
      <c r="AG409" s="33" t="n">
        <v>0</v>
      </c>
      <c r="AH409" s="33" t="s">
        <v>75</v>
      </c>
      <c r="AI409" s="33" t="n">
        <v>8.06</v>
      </c>
      <c r="AJ409" s="23" t="n">
        <v>21</v>
      </c>
      <c r="AK409" s="33" t="n">
        <v>54.3</v>
      </c>
      <c r="AL409" s="33" t="n">
        <f aca="false">0.65*AK409</f>
        <v>35.295</v>
      </c>
      <c r="AM409" s="33"/>
      <c r="AN409" s="33" t="n">
        <v>0</v>
      </c>
      <c r="AO409" s="2" t="n">
        <v>6.37</v>
      </c>
      <c r="AP409" s="23" t="n">
        <v>20.2</v>
      </c>
      <c r="AQ409" s="33" t="n">
        <v>257</v>
      </c>
      <c r="AR409" s="33" t="n">
        <f aca="false">AQ409*0.55</f>
        <v>141.35</v>
      </c>
      <c r="AS409" s="33" t="n">
        <v>0</v>
      </c>
      <c r="AT409" s="33" t="n">
        <v>8.15</v>
      </c>
      <c r="AU409" s="23" t="n">
        <v>20.5</v>
      </c>
      <c r="AV409" s="33" t="n">
        <v>405.2</v>
      </c>
      <c r="AW409" s="33" t="n">
        <f aca="false">AV409*0.55</f>
        <v>222.86</v>
      </c>
      <c r="AX409" s="33" t="n">
        <v>0</v>
      </c>
      <c r="AY409" s="33" t="n">
        <v>0</v>
      </c>
    </row>
    <row r="410" customFormat="false" ht="15" hidden="false" customHeight="false" outlineLevel="0" collapsed="false">
      <c r="A410" s="16" t="s">
        <v>120</v>
      </c>
      <c r="B410" s="2" t="s">
        <v>57</v>
      </c>
      <c r="C410" s="32" t="n">
        <v>8.15</v>
      </c>
      <c r="D410" s="23" t="n">
        <v>22.1</v>
      </c>
      <c r="E410" s="33" t="n">
        <v>54.1</v>
      </c>
      <c r="F410" s="34" t="n">
        <f aca="false">0.65*E410</f>
        <v>35.165</v>
      </c>
      <c r="G410" s="33" t="n">
        <v>0.01</v>
      </c>
      <c r="H410" s="33" t="n">
        <v>8.13</v>
      </c>
      <c r="I410" s="23" t="n">
        <v>22</v>
      </c>
      <c r="J410" s="49"/>
      <c r="K410" s="49"/>
      <c r="L410" s="33" t="n">
        <v>0.36</v>
      </c>
      <c r="M410" s="33" t="n">
        <v>8.13</v>
      </c>
      <c r="N410" s="23" t="n">
        <v>22</v>
      </c>
      <c r="O410" s="49"/>
      <c r="P410" s="49"/>
      <c r="Q410" s="33" t="n">
        <v>0.38</v>
      </c>
      <c r="R410" s="34" t="n">
        <v>8.1</v>
      </c>
      <c r="S410" s="19" t="n">
        <v>21.3</v>
      </c>
      <c r="T410" s="49"/>
      <c r="U410" s="49"/>
      <c r="V410" s="34" t="n">
        <v>0</v>
      </c>
      <c r="W410" s="33" t="n">
        <v>8.1</v>
      </c>
      <c r="X410" s="19" t="n">
        <v>21.3</v>
      </c>
      <c r="Y410" s="49"/>
      <c r="Z410" s="49"/>
      <c r="AA410" s="34" t="n">
        <v>0</v>
      </c>
      <c r="AB410" s="33" t="n">
        <v>8.08</v>
      </c>
      <c r="AC410" s="23" t="n">
        <v>21</v>
      </c>
      <c r="AD410" s="33" t="n">
        <v>54</v>
      </c>
      <c r="AE410" s="34" t="n">
        <f aca="false">0.65*AD410</f>
        <v>35.1</v>
      </c>
      <c r="AF410" s="33"/>
      <c r="AG410" s="34" t="n">
        <v>0</v>
      </c>
      <c r="AH410" s="45"/>
      <c r="AI410" s="33" t="n">
        <v>8.08</v>
      </c>
      <c r="AJ410" s="23" t="n">
        <v>21</v>
      </c>
      <c r="AK410" s="33" t="n">
        <v>54</v>
      </c>
      <c r="AL410" s="34" t="n">
        <f aca="false">AK411*0.55</f>
        <v>29.645</v>
      </c>
      <c r="AM410" s="33"/>
      <c r="AN410" s="34" t="n">
        <v>0</v>
      </c>
      <c r="AO410" s="2" t="n">
        <v>6.45</v>
      </c>
      <c r="AP410" s="23" t="n">
        <v>20.8</v>
      </c>
      <c r="AQ410" s="33" t="n">
        <v>244</v>
      </c>
      <c r="AR410" s="34" t="n">
        <f aca="false">AQ411*0.55</f>
        <v>152.075</v>
      </c>
      <c r="AS410" s="34" t="n">
        <v>0</v>
      </c>
      <c r="AT410" s="33" t="n">
        <v>8.31</v>
      </c>
      <c r="AU410" s="23" t="n">
        <v>21.3</v>
      </c>
      <c r="AV410" s="33" t="n">
        <v>405.8</v>
      </c>
      <c r="AW410" s="54"/>
      <c r="AX410" s="34" t="n">
        <v>1.4</v>
      </c>
      <c r="AY410" s="34" t="n">
        <v>0</v>
      </c>
    </row>
    <row r="411" customFormat="false" ht="15" hidden="false" customHeight="false" outlineLevel="0" collapsed="false">
      <c r="A411" s="16" t="s">
        <v>121</v>
      </c>
      <c r="B411" s="2" t="s">
        <v>51</v>
      </c>
      <c r="C411" s="32" t="n">
        <v>8.16</v>
      </c>
      <c r="D411" s="23" t="n">
        <v>22.3</v>
      </c>
      <c r="E411" s="33" t="n">
        <v>53.9</v>
      </c>
      <c r="F411" s="34" t="n">
        <f aca="false">E411*0.65</f>
        <v>35.035</v>
      </c>
      <c r="G411" s="33" t="n">
        <v>0.09</v>
      </c>
      <c r="H411" s="33" t="n">
        <v>8.13</v>
      </c>
      <c r="I411" s="23" t="n">
        <v>21</v>
      </c>
      <c r="J411" s="49"/>
      <c r="K411" s="37"/>
      <c r="L411" s="33" t="n">
        <v>0.14</v>
      </c>
      <c r="M411" s="33" t="n">
        <v>8.13</v>
      </c>
      <c r="N411" s="23" t="n">
        <v>21</v>
      </c>
      <c r="O411" s="49"/>
      <c r="P411" s="37"/>
      <c r="Q411" s="33" t="n">
        <v>0.16</v>
      </c>
      <c r="R411" s="33" t="n">
        <v>8.1</v>
      </c>
      <c r="S411" s="23" t="n">
        <v>20.4</v>
      </c>
      <c r="T411" s="49"/>
      <c r="U411" s="37"/>
      <c r="V411" s="34" t="n">
        <v>0</v>
      </c>
      <c r="W411" s="33" t="n">
        <v>8.1</v>
      </c>
      <c r="X411" s="23" t="n">
        <v>20.4</v>
      </c>
      <c r="Y411" s="49"/>
      <c r="Z411" s="37"/>
      <c r="AA411" s="34" t="n">
        <v>0</v>
      </c>
      <c r="AB411" s="33" t="n">
        <v>8.09</v>
      </c>
      <c r="AC411" s="23" t="n">
        <v>19.3</v>
      </c>
      <c r="AD411" s="33" t="n">
        <v>53.9</v>
      </c>
      <c r="AE411" s="34" t="n">
        <f aca="false">AD411*0.65</f>
        <v>35.035</v>
      </c>
      <c r="AF411" s="33"/>
      <c r="AG411" s="34" t="n">
        <v>0</v>
      </c>
      <c r="AH411" s="33"/>
      <c r="AI411" s="33" t="n">
        <v>8.09</v>
      </c>
      <c r="AJ411" s="23" t="n">
        <v>19.3</v>
      </c>
      <c r="AK411" s="33" t="n">
        <v>53.9</v>
      </c>
      <c r="AL411" s="34" t="n">
        <f aca="false">AK411*0.65</f>
        <v>35.035</v>
      </c>
      <c r="AM411" s="33"/>
      <c r="AN411" s="34" t="n">
        <v>0</v>
      </c>
      <c r="AO411" s="2" t="n">
        <v>6.39</v>
      </c>
      <c r="AP411" s="23" t="n">
        <v>20.5</v>
      </c>
      <c r="AQ411" s="33" t="n">
        <v>276.5</v>
      </c>
      <c r="AR411" s="34" t="n">
        <f aca="false">AQ411*0.55</f>
        <v>152.075</v>
      </c>
      <c r="AS411" s="34" t="n">
        <v>0</v>
      </c>
      <c r="AT411" s="33" t="n">
        <v>8.05</v>
      </c>
      <c r="AU411" s="23" t="n">
        <v>20.7</v>
      </c>
      <c r="AV411" s="33" t="n">
        <v>386</v>
      </c>
      <c r="AW411" s="34" t="n">
        <f aca="false">AV411*0.55</f>
        <v>212.3</v>
      </c>
      <c r="AX411" s="34" t="n">
        <v>1</v>
      </c>
      <c r="AY411" s="34" t="n">
        <v>0</v>
      </c>
    </row>
    <row r="412" customFormat="false" ht="15" hidden="false" customHeight="false" outlineLevel="0" collapsed="false">
      <c r="A412" s="16" t="s">
        <v>121</v>
      </c>
      <c r="B412" s="2" t="s">
        <v>52</v>
      </c>
      <c r="C412" s="32" t="n">
        <v>8.13</v>
      </c>
      <c r="D412" s="23" t="n">
        <v>21</v>
      </c>
      <c r="E412" s="49"/>
      <c r="F412" s="37"/>
      <c r="G412" s="33" t="n">
        <v>0.14</v>
      </c>
      <c r="H412" s="33" t="n">
        <v>8.09</v>
      </c>
      <c r="I412" s="23" t="n">
        <v>20.3</v>
      </c>
      <c r="J412" s="53"/>
      <c r="K412" s="53"/>
      <c r="L412" s="33" t="n">
        <v>0.01</v>
      </c>
      <c r="M412" s="33" t="n">
        <v>8.09</v>
      </c>
      <c r="N412" s="23" t="n">
        <v>20.2</v>
      </c>
      <c r="O412" s="53"/>
      <c r="P412" s="53"/>
      <c r="Q412" s="33" t="n">
        <v>0.01</v>
      </c>
      <c r="R412" s="33" t="n">
        <v>8.06</v>
      </c>
      <c r="S412" s="23" t="n">
        <v>20.1</v>
      </c>
      <c r="T412" s="53"/>
      <c r="U412" s="53"/>
      <c r="V412" s="33" t="n">
        <v>0</v>
      </c>
      <c r="W412" s="33" t="n">
        <v>8.06</v>
      </c>
      <c r="X412" s="23" t="n">
        <v>20.1</v>
      </c>
      <c r="Y412" s="53"/>
      <c r="Z412" s="53"/>
      <c r="AA412" s="33" t="n">
        <v>0</v>
      </c>
      <c r="AB412" s="33" t="n">
        <v>8.02</v>
      </c>
      <c r="AC412" s="23" t="n">
        <v>20.9</v>
      </c>
      <c r="AD412" s="33" t="n">
        <v>53.8</v>
      </c>
      <c r="AE412" s="33" t="n">
        <f aca="false">AD412*0.65</f>
        <v>34.97</v>
      </c>
      <c r="AF412" s="33"/>
      <c r="AG412" s="33" t="n">
        <v>0</v>
      </c>
      <c r="AH412" s="33" t="s">
        <v>75</v>
      </c>
      <c r="AI412" s="33" t="n">
        <v>8.02</v>
      </c>
      <c r="AJ412" s="23" t="n">
        <v>20.9</v>
      </c>
      <c r="AK412" s="33" t="n">
        <v>53.8</v>
      </c>
      <c r="AL412" s="33" t="n">
        <f aca="false">0.65*AK412</f>
        <v>34.97</v>
      </c>
      <c r="AM412" s="33"/>
      <c r="AN412" s="33" t="n">
        <v>0</v>
      </c>
      <c r="AO412" s="2" t="n">
        <v>6.24</v>
      </c>
      <c r="AP412" s="23" t="n">
        <v>20.9</v>
      </c>
      <c r="AQ412" s="33" t="n">
        <v>259</v>
      </c>
      <c r="AR412" s="33" t="n">
        <f aca="false">AQ412*0.55</f>
        <v>142.45</v>
      </c>
      <c r="AS412" s="33" t="n">
        <v>0</v>
      </c>
      <c r="AT412" s="33" t="n">
        <v>8.01</v>
      </c>
      <c r="AU412" s="23" t="n">
        <v>20.7</v>
      </c>
      <c r="AV412" s="33" t="n">
        <v>389.9</v>
      </c>
      <c r="AW412" s="33" t="n">
        <f aca="false">AV412*0.55</f>
        <v>214.445</v>
      </c>
      <c r="AX412" s="33" t="n">
        <v>0.9</v>
      </c>
      <c r="AY412" s="33" t="n">
        <v>0</v>
      </c>
    </row>
    <row r="413" customFormat="false" ht="15" hidden="false" customHeight="false" outlineLevel="0" collapsed="false">
      <c r="A413" s="16" t="s">
        <v>121</v>
      </c>
      <c r="B413" s="2" t="s">
        <v>57</v>
      </c>
      <c r="C413" s="32" t="n">
        <v>8.12</v>
      </c>
      <c r="D413" s="23" t="n">
        <v>22.4</v>
      </c>
      <c r="E413" s="33" t="n">
        <v>53.8</v>
      </c>
      <c r="F413" s="34" t="n">
        <f aca="false">0.65*E413</f>
        <v>34.97</v>
      </c>
      <c r="G413" s="33" t="n">
        <v>0.07</v>
      </c>
      <c r="H413" s="33" t="n">
        <v>8.1</v>
      </c>
      <c r="I413" s="23" t="n">
        <v>22.3</v>
      </c>
      <c r="J413" s="49"/>
      <c r="K413" s="49"/>
      <c r="L413" s="33" t="n">
        <v>0.44</v>
      </c>
      <c r="M413" s="33" t="n">
        <v>8.1</v>
      </c>
      <c r="N413" s="23" t="n">
        <v>22.3</v>
      </c>
      <c r="O413" s="49"/>
      <c r="P413" s="49"/>
      <c r="Q413" s="33" t="n">
        <v>0.42</v>
      </c>
      <c r="R413" s="34" t="n">
        <v>8.09</v>
      </c>
      <c r="S413" s="19" t="n">
        <v>22</v>
      </c>
      <c r="T413" s="49"/>
      <c r="U413" s="49"/>
      <c r="V413" s="34" t="n">
        <v>0</v>
      </c>
      <c r="W413" s="33" t="n">
        <v>8.08</v>
      </c>
      <c r="X413" s="19" t="n">
        <v>22</v>
      </c>
      <c r="Y413" s="49"/>
      <c r="Z413" s="49"/>
      <c r="AA413" s="34" t="n">
        <v>0</v>
      </c>
      <c r="AB413" s="33" t="n">
        <v>8.05</v>
      </c>
      <c r="AC413" s="23" t="n">
        <v>20.3</v>
      </c>
      <c r="AD413" s="33" t="n">
        <v>53.8</v>
      </c>
      <c r="AE413" s="34" t="n">
        <f aca="false">0.65*AD413</f>
        <v>34.97</v>
      </c>
      <c r="AF413" s="33"/>
      <c r="AG413" s="34" t="n">
        <v>0</v>
      </c>
      <c r="AH413" s="45"/>
      <c r="AI413" s="33" t="n">
        <v>8.05</v>
      </c>
      <c r="AJ413" s="23" t="n">
        <v>20.3</v>
      </c>
      <c r="AK413" s="33" t="n">
        <v>53.8</v>
      </c>
      <c r="AL413" s="34" t="n">
        <f aca="false">AK414*0.55</f>
        <v>29.645</v>
      </c>
      <c r="AM413" s="33"/>
      <c r="AN413" s="34" t="n">
        <v>0</v>
      </c>
      <c r="AO413" s="2" t="n">
        <v>6.33</v>
      </c>
      <c r="AP413" s="23" t="n">
        <v>20.7</v>
      </c>
      <c r="AQ413" s="33" t="n">
        <v>257</v>
      </c>
      <c r="AR413" s="34" t="n">
        <f aca="false">AQ414*0.55</f>
        <v>145.585</v>
      </c>
      <c r="AS413" s="34" t="n">
        <v>0</v>
      </c>
      <c r="AT413" s="33" t="n">
        <v>8.15</v>
      </c>
      <c r="AU413" s="23" t="n">
        <v>21.4</v>
      </c>
      <c r="AV413" s="33" t="n">
        <v>390.7</v>
      </c>
      <c r="AW413" s="54"/>
      <c r="AX413" s="34" t="n">
        <v>1</v>
      </c>
      <c r="AY413" s="34" t="n">
        <v>0</v>
      </c>
    </row>
    <row r="414" customFormat="false" ht="15" hidden="false" customHeight="false" outlineLevel="0" collapsed="false">
      <c r="A414" s="16" t="s">
        <v>122</v>
      </c>
      <c r="B414" s="2" t="s">
        <v>51</v>
      </c>
      <c r="C414" s="32" t="n">
        <v>8.13</v>
      </c>
      <c r="D414" s="23" t="n">
        <v>20.6</v>
      </c>
      <c r="E414" s="33" t="n">
        <v>53.9</v>
      </c>
      <c r="F414" s="34" t="n">
        <f aca="false">E414*0.65</f>
        <v>35.035</v>
      </c>
      <c r="G414" s="33" t="n">
        <v>0.02</v>
      </c>
      <c r="H414" s="33" t="n">
        <v>8.12</v>
      </c>
      <c r="I414" s="23" t="n">
        <v>19.7</v>
      </c>
      <c r="J414" s="49"/>
      <c r="K414" s="37"/>
      <c r="L414" s="33" t="n">
        <v>0.16</v>
      </c>
      <c r="M414" s="33" t="n">
        <v>8.12</v>
      </c>
      <c r="N414" s="23" t="n">
        <v>19.7</v>
      </c>
      <c r="O414" s="49"/>
      <c r="P414" s="37"/>
      <c r="Q414" s="33" t="n">
        <v>0.18</v>
      </c>
      <c r="R414" s="33" t="n">
        <v>8.12</v>
      </c>
      <c r="S414" s="23" t="n">
        <v>19.7</v>
      </c>
      <c r="T414" s="49"/>
      <c r="U414" s="37"/>
      <c r="V414" s="34" t="n">
        <v>0</v>
      </c>
      <c r="W414" s="33" t="n">
        <v>8.13</v>
      </c>
      <c r="X414" s="23" t="n">
        <v>19.7</v>
      </c>
      <c r="Y414" s="49"/>
      <c r="Z414" s="37"/>
      <c r="AA414" s="34" t="n">
        <v>0</v>
      </c>
      <c r="AB414" s="33" t="n">
        <v>8.12</v>
      </c>
      <c r="AC414" s="23" t="n">
        <v>19.6</v>
      </c>
      <c r="AD414" s="33" t="n">
        <v>53.9</v>
      </c>
      <c r="AE414" s="34" t="n">
        <f aca="false">AD414*0.65</f>
        <v>35.035</v>
      </c>
      <c r="AF414" s="33"/>
      <c r="AG414" s="34" t="n">
        <v>0</v>
      </c>
      <c r="AH414" s="33"/>
      <c r="AI414" s="33" t="n">
        <v>8.14</v>
      </c>
      <c r="AJ414" s="23" t="n">
        <v>19.7</v>
      </c>
      <c r="AK414" s="33" t="n">
        <v>53.9</v>
      </c>
      <c r="AL414" s="34" t="n">
        <f aca="false">AK414*0.65</f>
        <v>35.035</v>
      </c>
      <c r="AM414" s="33"/>
      <c r="AN414" s="34" t="n">
        <v>0</v>
      </c>
      <c r="AO414" s="2" t="n">
        <v>6.53</v>
      </c>
      <c r="AP414" s="23" t="n">
        <v>20.6</v>
      </c>
      <c r="AQ414" s="33" t="n">
        <v>264.7</v>
      </c>
      <c r="AR414" s="34" t="n">
        <f aca="false">AQ414*0.55</f>
        <v>145.585</v>
      </c>
      <c r="AS414" s="34" t="n">
        <v>0</v>
      </c>
      <c r="AT414" s="33" t="n">
        <v>8.3</v>
      </c>
      <c r="AU414" s="23" t="n">
        <v>20.7</v>
      </c>
      <c r="AV414" s="33" t="n">
        <v>414.5</v>
      </c>
      <c r="AW414" s="34" t="n">
        <f aca="false">AV414*0.55</f>
        <v>227.975</v>
      </c>
      <c r="AX414" s="34" t="n">
        <v>1.1</v>
      </c>
      <c r="AY414" s="34" t="n">
        <v>0</v>
      </c>
    </row>
    <row r="415" customFormat="false" ht="15" hidden="false" customHeight="false" outlineLevel="0" collapsed="false">
      <c r="A415" s="16" t="s">
        <v>122</v>
      </c>
      <c r="B415" s="2" t="s">
        <v>52</v>
      </c>
      <c r="C415" s="29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P415" s="21"/>
      <c r="AQ415" s="21"/>
      <c r="AR415" s="21"/>
      <c r="AS415" s="21"/>
      <c r="AT415" s="33" t="n">
        <v>8.25</v>
      </c>
      <c r="AU415" s="23" t="n">
        <v>20.7</v>
      </c>
      <c r="AV415" s="33" t="n">
        <v>396.1</v>
      </c>
      <c r="AW415" s="33" t="n">
        <f aca="false">AV415*0.55</f>
        <v>217.855</v>
      </c>
      <c r="AX415" s="33" t="n">
        <v>1</v>
      </c>
      <c r="AY415" s="33" t="n">
        <v>0</v>
      </c>
    </row>
    <row r="416" customFormat="false" ht="15" hidden="false" customHeight="false" outlineLevel="0" collapsed="false">
      <c r="A416" s="16" t="s">
        <v>122</v>
      </c>
      <c r="B416" s="2" t="s">
        <v>57</v>
      </c>
      <c r="C416" s="32" t="n">
        <v>8.15</v>
      </c>
      <c r="D416" s="23" t="n">
        <v>20.8</v>
      </c>
      <c r="E416" s="33" t="n">
        <v>54.2</v>
      </c>
      <c r="F416" s="34" t="n">
        <f aca="false">0.65*E416</f>
        <v>35.23</v>
      </c>
      <c r="G416" s="33" t="n">
        <v>0.07</v>
      </c>
      <c r="H416" s="33" t="n">
        <v>8.14</v>
      </c>
      <c r="I416" s="23" t="n">
        <v>20.4</v>
      </c>
      <c r="J416" s="49"/>
      <c r="K416" s="49"/>
      <c r="L416" s="33" t="n">
        <v>0.38</v>
      </c>
      <c r="M416" s="33" t="n">
        <v>8.14</v>
      </c>
      <c r="N416" s="23" t="n">
        <v>20.4</v>
      </c>
      <c r="O416" s="49"/>
      <c r="P416" s="49"/>
      <c r="Q416" s="33" t="n">
        <v>0.45</v>
      </c>
      <c r="R416" s="34" t="n">
        <v>8.12</v>
      </c>
      <c r="S416" s="19" t="n">
        <v>20</v>
      </c>
      <c r="T416" s="49"/>
      <c r="U416" s="49"/>
      <c r="V416" s="34" t="n">
        <v>0</v>
      </c>
      <c r="W416" s="33" t="n">
        <v>8.12</v>
      </c>
      <c r="X416" s="19" t="n">
        <v>20</v>
      </c>
      <c r="Y416" s="49"/>
      <c r="Z416" s="49"/>
      <c r="AA416" s="34" t="n">
        <v>0</v>
      </c>
      <c r="AB416" s="33" t="n">
        <v>8.03</v>
      </c>
      <c r="AC416" s="23" t="n">
        <v>20.3</v>
      </c>
      <c r="AD416" s="33" t="n">
        <v>53.9</v>
      </c>
      <c r="AE416" s="34" t="n">
        <f aca="false">0.65*AD416</f>
        <v>35.035</v>
      </c>
      <c r="AF416" s="33"/>
      <c r="AG416" s="34" t="n">
        <v>0</v>
      </c>
      <c r="AH416" s="45"/>
      <c r="AI416" s="33" t="n">
        <v>8.03</v>
      </c>
      <c r="AJ416" s="23" t="n">
        <v>20.5</v>
      </c>
      <c r="AK416" s="33" t="n">
        <v>53.9</v>
      </c>
      <c r="AL416" s="34" t="n">
        <f aca="false">AK417*0.55</f>
        <v>29.755</v>
      </c>
      <c r="AM416" s="33"/>
      <c r="AN416" s="34" t="n">
        <v>0</v>
      </c>
      <c r="AO416" s="2" t="n">
        <v>6.63</v>
      </c>
      <c r="AP416" s="23" t="n">
        <v>20.5</v>
      </c>
      <c r="AQ416" s="33" t="n">
        <v>269</v>
      </c>
      <c r="AR416" s="34" t="n">
        <f aca="false">AQ417*0.55</f>
        <v>150.865</v>
      </c>
      <c r="AS416" s="34" t="n">
        <v>0</v>
      </c>
      <c r="AT416" s="33" t="n">
        <v>8.21</v>
      </c>
      <c r="AU416" s="23" t="n">
        <v>21.2</v>
      </c>
      <c r="AV416" s="33" t="n">
        <v>400.3</v>
      </c>
      <c r="AW416" s="54"/>
      <c r="AX416" s="34" t="n">
        <v>1</v>
      </c>
      <c r="AY416" s="34" t="n">
        <v>0</v>
      </c>
    </row>
    <row r="417" customFormat="false" ht="15" hidden="false" customHeight="false" outlineLevel="0" collapsed="false">
      <c r="A417" s="16" t="s">
        <v>123</v>
      </c>
      <c r="B417" s="2" t="s">
        <v>51</v>
      </c>
      <c r="C417" s="32" t="n">
        <v>8.16</v>
      </c>
      <c r="D417" s="23" t="n">
        <v>21.3</v>
      </c>
      <c r="E417" s="33" t="n">
        <v>54.2</v>
      </c>
      <c r="F417" s="34" t="n">
        <f aca="false">E417*0.7</f>
        <v>37.94</v>
      </c>
      <c r="G417" s="33" t="n">
        <v>0.04</v>
      </c>
      <c r="H417" s="33" t="n">
        <v>8.15</v>
      </c>
      <c r="I417" s="23" t="n">
        <v>21</v>
      </c>
      <c r="J417" s="49"/>
      <c r="K417" s="37"/>
      <c r="L417" s="33" t="n">
        <v>0.36</v>
      </c>
      <c r="M417" s="33" t="n">
        <v>8.15</v>
      </c>
      <c r="N417" s="23" t="n">
        <v>21</v>
      </c>
      <c r="O417" s="49"/>
      <c r="P417" s="37"/>
      <c r="Q417" s="33" t="n">
        <v>0.42</v>
      </c>
      <c r="R417" s="33" t="n">
        <v>8.1</v>
      </c>
      <c r="S417" s="23" t="n">
        <v>20.6</v>
      </c>
      <c r="T417" s="49"/>
      <c r="U417" s="37"/>
      <c r="V417" s="34" t="n">
        <v>0</v>
      </c>
      <c r="W417" s="33" t="n">
        <v>8.1</v>
      </c>
      <c r="X417" s="23" t="n">
        <v>20.6</v>
      </c>
      <c r="Y417" s="49"/>
      <c r="Z417" s="37"/>
      <c r="AA417" s="34" t="n">
        <v>0</v>
      </c>
      <c r="AB417" s="33" t="n">
        <v>8.06</v>
      </c>
      <c r="AC417" s="23" t="n">
        <v>20.5</v>
      </c>
      <c r="AD417" s="33" t="n">
        <v>54.1</v>
      </c>
      <c r="AE417" s="34" t="n">
        <f aca="false">AD417*0.7</f>
        <v>37.87</v>
      </c>
      <c r="AF417" s="33"/>
      <c r="AG417" s="34" t="n">
        <v>0</v>
      </c>
      <c r="AH417" s="33"/>
      <c r="AI417" s="33" t="n">
        <v>8.06</v>
      </c>
      <c r="AJ417" s="23" t="n">
        <v>20.5</v>
      </c>
      <c r="AK417" s="33" t="n">
        <v>54.1</v>
      </c>
      <c r="AL417" s="34" t="n">
        <f aca="false">AK417*0.7</f>
        <v>37.87</v>
      </c>
      <c r="AM417" s="33"/>
      <c r="AN417" s="34" t="n">
        <v>0</v>
      </c>
      <c r="AO417" s="2" t="n">
        <v>6.64</v>
      </c>
      <c r="AP417" s="23" t="n">
        <v>20.6</v>
      </c>
      <c r="AQ417" s="33" t="n">
        <v>274.3</v>
      </c>
      <c r="AR417" s="34" t="n">
        <f aca="false">AQ417*0.55</f>
        <v>150.865</v>
      </c>
      <c r="AS417" s="34" t="n">
        <v>0</v>
      </c>
      <c r="AT417" s="33" t="n">
        <v>8.25</v>
      </c>
      <c r="AU417" s="23" t="n">
        <v>21</v>
      </c>
      <c r="AV417" s="33" t="n">
        <v>405.6</v>
      </c>
      <c r="AW417" s="34" t="n">
        <f aca="false">AV417*0.55</f>
        <v>223.08</v>
      </c>
      <c r="AX417" s="34" t="n">
        <v>1.1</v>
      </c>
      <c r="AY417" s="34" t="n">
        <v>0</v>
      </c>
    </row>
    <row r="418" customFormat="false" ht="15" hidden="false" customHeight="false" outlineLevel="0" collapsed="false">
      <c r="A418" s="16" t="s">
        <v>123</v>
      </c>
      <c r="B418" s="2" t="s">
        <v>52</v>
      </c>
      <c r="C418" s="29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P418" s="21"/>
      <c r="AQ418" s="21"/>
      <c r="AR418" s="21"/>
      <c r="AS418" s="21"/>
      <c r="AT418" s="33" t="n">
        <v>8.26</v>
      </c>
      <c r="AU418" s="23" t="n">
        <v>20.6</v>
      </c>
      <c r="AV418" s="33" t="n">
        <v>381.8</v>
      </c>
      <c r="AW418" s="33" t="n">
        <f aca="false">AV418*0.55</f>
        <v>209.99</v>
      </c>
      <c r="AX418" s="33" t="n">
        <v>1</v>
      </c>
      <c r="AY418" s="33" t="n">
        <v>0</v>
      </c>
    </row>
    <row r="419" customFormat="false" ht="15" hidden="false" customHeight="false" outlineLevel="0" collapsed="false">
      <c r="A419" s="16" t="s">
        <v>123</v>
      </c>
      <c r="B419" s="2" t="s">
        <v>57</v>
      </c>
      <c r="C419" s="32" t="n">
        <v>8.14</v>
      </c>
      <c r="D419" s="23" t="n">
        <v>20.4</v>
      </c>
      <c r="E419" s="33" t="n">
        <v>54.1</v>
      </c>
      <c r="F419" s="34" t="n">
        <f aca="false">0.7*E419</f>
        <v>37.87</v>
      </c>
      <c r="G419" s="34" t="n">
        <v>0</v>
      </c>
      <c r="H419" s="33" t="n">
        <v>8.12</v>
      </c>
      <c r="I419" s="23" t="n">
        <v>20.3</v>
      </c>
      <c r="J419" s="49"/>
      <c r="K419" s="49"/>
      <c r="L419" s="33" t="n">
        <v>0.32</v>
      </c>
      <c r="M419" s="33" t="n">
        <v>8.12</v>
      </c>
      <c r="N419" s="23" t="n">
        <v>20.3</v>
      </c>
      <c r="O419" s="49"/>
      <c r="P419" s="49"/>
      <c r="Q419" s="33" t="n">
        <v>0.46</v>
      </c>
      <c r="R419" s="34" t="n">
        <v>8.1</v>
      </c>
      <c r="S419" s="19" t="n">
        <v>20.2</v>
      </c>
      <c r="T419" s="49"/>
      <c r="U419" s="49"/>
      <c r="V419" s="34" t="n">
        <v>0</v>
      </c>
      <c r="W419" s="33" t="n">
        <v>8.08</v>
      </c>
      <c r="X419" s="19" t="n">
        <v>20.2</v>
      </c>
      <c r="Y419" s="49"/>
      <c r="Z419" s="49"/>
      <c r="AA419" s="34" t="n">
        <v>0</v>
      </c>
      <c r="AB419" s="33" t="n">
        <v>8.02</v>
      </c>
      <c r="AC419" s="23" t="n">
        <v>20.2</v>
      </c>
      <c r="AD419" s="33" t="n">
        <v>53.9</v>
      </c>
      <c r="AE419" s="34" t="n">
        <f aca="false">0.7*AD419</f>
        <v>37.73</v>
      </c>
      <c r="AF419" s="33"/>
      <c r="AG419" s="34" t="n">
        <v>0</v>
      </c>
      <c r="AH419" s="45"/>
      <c r="AI419" s="33" t="n">
        <v>8.01</v>
      </c>
      <c r="AJ419" s="23" t="n">
        <v>20.1</v>
      </c>
      <c r="AK419" s="33" t="n">
        <v>53.9</v>
      </c>
      <c r="AL419" s="34" t="n">
        <f aca="false">AK420*0.55</f>
        <v>29.645</v>
      </c>
      <c r="AM419" s="33"/>
      <c r="AN419" s="34" t="n">
        <v>0</v>
      </c>
      <c r="AO419" s="2" t="n">
        <v>6.41</v>
      </c>
      <c r="AP419" s="23" t="n">
        <v>20.5</v>
      </c>
      <c r="AQ419" s="33" t="n">
        <v>314</v>
      </c>
      <c r="AR419" s="34" t="n">
        <f aca="false">AQ420*0.55</f>
        <v>135.85</v>
      </c>
      <c r="AS419" s="34" t="n">
        <v>0</v>
      </c>
      <c r="AT419" s="33" t="n">
        <v>8.29</v>
      </c>
      <c r="AU419" s="23" t="n">
        <v>20.9</v>
      </c>
      <c r="AV419" s="33" t="n">
        <v>393.4</v>
      </c>
      <c r="AW419" s="54"/>
      <c r="AX419" s="34" t="n">
        <v>1</v>
      </c>
      <c r="AY419" s="34" t="n">
        <v>0</v>
      </c>
    </row>
    <row r="420" customFormat="false" ht="15" hidden="false" customHeight="false" outlineLevel="0" collapsed="false">
      <c r="A420" s="16" t="s">
        <v>124</v>
      </c>
      <c r="B420" s="2" t="s">
        <v>51</v>
      </c>
      <c r="C420" s="32" t="n">
        <v>8.12</v>
      </c>
      <c r="D420" s="23" t="n">
        <v>21.2</v>
      </c>
      <c r="E420" s="33" t="n">
        <v>53.9</v>
      </c>
      <c r="F420" s="34" t="n">
        <f aca="false">E420*0.7</f>
        <v>37.73</v>
      </c>
      <c r="G420" s="33" t="n">
        <v>0.01</v>
      </c>
      <c r="H420" s="33" t="n">
        <v>8.1</v>
      </c>
      <c r="I420" s="23" t="n">
        <v>20.9</v>
      </c>
      <c r="J420" s="49"/>
      <c r="K420" s="37"/>
      <c r="L420" s="33" t="n">
        <v>0.01</v>
      </c>
      <c r="M420" s="33" t="n">
        <v>8.1</v>
      </c>
      <c r="N420" s="23" t="n">
        <v>20.9</v>
      </c>
      <c r="O420" s="49"/>
      <c r="P420" s="37"/>
      <c r="Q420" s="33" t="n">
        <v>0.01</v>
      </c>
      <c r="R420" s="33" t="n">
        <v>8.08</v>
      </c>
      <c r="S420" s="23"/>
      <c r="T420" s="49"/>
      <c r="U420" s="37"/>
      <c r="V420" s="34" t="n">
        <v>0</v>
      </c>
      <c r="W420" s="33" t="n">
        <v>8.08</v>
      </c>
      <c r="X420" s="23"/>
      <c r="Y420" s="49"/>
      <c r="Z420" s="37"/>
      <c r="AA420" s="34" t="n">
        <v>0</v>
      </c>
      <c r="AB420" s="33" t="n">
        <v>8.07</v>
      </c>
      <c r="AC420" s="23" t="n">
        <v>20</v>
      </c>
      <c r="AD420" s="33" t="n">
        <v>53.9</v>
      </c>
      <c r="AE420" s="34" t="n">
        <f aca="false">AD420*0.7</f>
        <v>37.73</v>
      </c>
      <c r="AF420" s="33"/>
      <c r="AG420" s="34" t="n">
        <v>0</v>
      </c>
      <c r="AH420" s="33"/>
      <c r="AI420" s="33" t="n">
        <v>8.07</v>
      </c>
      <c r="AJ420" s="23" t="n">
        <v>20.1</v>
      </c>
      <c r="AK420" s="33" t="n">
        <v>53.9</v>
      </c>
      <c r="AL420" s="34" t="n">
        <f aca="false">AK420*0.7</f>
        <v>37.73</v>
      </c>
      <c r="AM420" s="33"/>
      <c r="AN420" s="34" t="n">
        <v>0</v>
      </c>
      <c r="AO420" s="2" t="n">
        <v>6.43</v>
      </c>
      <c r="AP420" s="23" t="n">
        <v>20.3</v>
      </c>
      <c r="AQ420" s="33" t="n">
        <v>247</v>
      </c>
      <c r="AR420" s="34" t="n">
        <f aca="false">AQ420*0.55</f>
        <v>135.85</v>
      </c>
      <c r="AS420" s="34" t="n">
        <v>0</v>
      </c>
      <c r="AT420" s="33" t="n">
        <v>8.24</v>
      </c>
      <c r="AU420" s="23" t="n">
        <v>21</v>
      </c>
      <c r="AV420" s="33" t="n">
        <v>393.3</v>
      </c>
      <c r="AW420" s="34" t="n">
        <f aca="false">AV420*0.55</f>
        <v>216.315</v>
      </c>
      <c r="AX420" s="34" t="n">
        <v>1</v>
      </c>
      <c r="AY420" s="34" t="n">
        <v>0</v>
      </c>
    </row>
    <row r="421" customFormat="false" ht="15" hidden="false" customHeight="false" outlineLevel="0" collapsed="false">
      <c r="A421" s="16" t="s">
        <v>124</v>
      </c>
      <c r="B421" s="2" t="s">
        <v>52</v>
      </c>
      <c r="C421" s="32" t="n">
        <v>8.1</v>
      </c>
      <c r="D421" s="23" t="n">
        <v>20.9</v>
      </c>
      <c r="E421" s="33" t="n">
        <v>53.9</v>
      </c>
      <c r="F421" s="33" t="n">
        <f aca="false">E421*0.7</f>
        <v>37.73</v>
      </c>
      <c r="G421" s="33" t="n">
        <v>0.01</v>
      </c>
      <c r="H421" s="33" t="n">
        <v>8.08</v>
      </c>
      <c r="I421" s="23" t="n">
        <v>19.9</v>
      </c>
      <c r="J421" s="53"/>
      <c r="K421" s="53"/>
      <c r="L421" s="33" t="n">
        <v>0.01</v>
      </c>
      <c r="M421" s="33" t="n">
        <v>8.08</v>
      </c>
      <c r="N421" s="23" t="n">
        <v>19.8</v>
      </c>
      <c r="O421" s="53"/>
      <c r="P421" s="53"/>
      <c r="Q421" s="33" t="n">
        <v>0.01</v>
      </c>
      <c r="R421" s="33" t="n">
        <v>8.06</v>
      </c>
      <c r="S421" s="23" t="n">
        <v>19.8</v>
      </c>
      <c r="T421" s="53"/>
      <c r="U421" s="53"/>
      <c r="V421" s="33" t="n">
        <v>0</v>
      </c>
      <c r="W421" s="33" t="n">
        <v>8.06</v>
      </c>
      <c r="X421" s="23" t="n">
        <v>19.8</v>
      </c>
      <c r="Y421" s="53"/>
      <c r="Z421" s="53"/>
      <c r="AA421" s="33" t="n">
        <v>0</v>
      </c>
      <c r="AB421" s="33" t="n">
        <v>8.04</v>
      </c>
      <c r="AC421" s="23" t="n">
        <v>20.7</v>
      </c>
      <c r="AD421" s="33" t="n">
        <v>53.8</v>
      </c>
      <c r="AE421" s="33" t="n">
        <f aca="false">AD421*0.7</f>
        <v>37.66</v>
      </c>
      <c r="AF421" s="33"/>
      <c r="AG421" s="33" t="n">
        <v>0</v>
      </c>
      <c r="AH421" s="33"/>
      <c r="AI421" s="33" t="n">
        <v>8.02</v>
      </c>
      <c r="AJ421" s="23" t="n">
        <v>20.7</v>
      </c>
      <c r="AK421" s="33" t="n">
        <v>53.8</v>
      </c>
      <c r="AL421" s="33" t="n">
        <f aca="false">AK421*0.7</f>
        <v>37.66</v>
      </c>
      <c r="AM421" s="33"/>
      <c r="AN421" s="33" t="n">
        <v>0</v>
      </c>
      <c r="AO421" s="2" t="n">
        <v>6.4</v>
      </c>
      <c r="AP421" s="23" t="n">
        <v>21.2</v>
      </c>
      <c r="AQ421" s="33" t="n">
        <v>239</v>
      </c>
      <c r="AR421" s="33" t="n">
        <f aca="false">AQ421*0.55</f>
        <v>131.45</v>
      </c>
      <c r="AS421" s="33" t="n">
        <v>0</v>
      </c>
      <c r="AT421" s="33" t="n">
        <v>8.22</v>
      </c>
      <c r="AU421" s="23" t="n">
        <v>21.2</v>
      </c>
      <c r="AV421" s="33" t="n">
        <v>392.1</v>
      </c>
      <c r="AW421" s="33" t="n">
        <f aca="false">AV421*0.55</f>
        <v>215.655</v>
      </c>
      <c r="AX421" s="33" t="n">
        <v>1</v>
      </c>
      <c r="AY421" s="33" t="n">
        <v>0</v>
      </c>
    </row>
    <row r="422" customFormat="false" ht="15" hidden="false" customHeight="false" outlineLevel="0" collapsed="false">
      <c r="A422" s="16" t="s">
        <v>124</v>
      </c>
      <c r="B422" s="2" t="s">
        <v>57</v>
      </c>
      <c r="C422" s="32" t="n">
        <v>8.12</v>
      </c>
      <c r="D422" s="23" t="n">
        <v>22.1</v>
      </c>
      <c r="E422" s="33" t="n">
        <v>53.9</v>
      </c>
      <c r="F422" s="34" t="n">
        <f aca="false">0.7*E422</f>
        <v>37.73</v>
      </c>
      <c r="G422" s="34" t="n">
        <v>0.35</v>
      </c>
      <c r="H422" s="33" t="n">
        <v>8.08</v>
      </c>
      <c r="I422" s="23" t="n">
        <v>22</v>
      </c>
      <c r="J422" s="49"/>
      <c r="K422" s="49"/>
      <c r="L422" s="33" t="n">
        <v>0.37</v>
      </c>
      <c r="M422" s="33" t="n">
        <v>8.08</v>
      </c>
      <c r="N422" s="23" t="n">
        <v>20.7</v>
      </c>
      <c r="O422" s="49"/>
      <c r="P422" s="49"/>
      <c r="Q422" s="33" t="n">
        <v>0.42</v>
      </c>
      <c r="R422" s="34" t="n">
        <v>8.05</v>
      </c>
      <c r="S422" s="19" t="n">
        <v>20.7</v>
      </c>
      <c r="T422" s="49"/>
      <c r="U422" s="49"/>
      <c r="V422" s="34" t="n">
        <v>0</v>
      </c>
      <c r="W422" s="33" t="n">
        <v>8.05</v>
      </c>
      <c r="X422" s="19" t="n">
        <v>20.6</v>
      </c>
      <c r="Y422" s="49"/>
      <c r="Z422" s="49"/>
      <c r="AA422" s="34" t="n">
        <v>0</v>
      </c>
      <c r="AB422" s="33" t="n">
        <v>8.04</v>
      </c>
      <c r="AC422" s="23" t="n">
        <v>20.2</v>
      </c>
      <c r="AD422" s="33" t="n">
        <v>53.8</v>
      </c>
      <c r="AE422" s="34" t="n">
        <f aca="false">0.7*AD422</f>
        <v>37.66</v>
      </c>
      <c r="AF422" s="33"/>
      <c r="AG422" s="34" t="n">
        <v>0</v>
      </c>
      <c r="AH422" s="45"/>
      <c r="AI422" s="33" t="n">
        <v>8.04</v>
      </c>
      <c r="AJ422" s="23" t="n">
        <v>20.1</v>
      </c>
      <c r="AK422" s="33" t="n">
        <v>53.8</v>
      </c>
      <c r="AL422" s="34" t="n">
        <f aca="false">AK423*0.55</f>
        <v>29.315</v>
      </c>
      <c r="AM422" s="33"/>
      <c r="AN422" s="34" t="n">
        <v>0</v>
      </c>
      <c r="AO422" s="2" t="n">
        <v>6.32</v>
      </c>
      <c r="AP422" s="23" t="n">
        <v>20.7</v>
      </c>
      <c r="AQ422" s="33" t="n">
        <v>262</v>
      </c>
      <c r="AR422" s="34" t="n">
        <f aca="false">AQ423*0.55</f>
        <v>130.35</v>
      </c>
      <c r="AS422" s="34" t="n">
        <v>0</v>
      </c>
      <c r="AT422" s="33" t="n">
        <v>8.23</v>
      </c>
      <c r="AU422" s="23" t="n">
        <v>21</v>
      </c>
      <c r="AV422" s="33" t="n">
        <v>392.3</v>
      </c>
      <c r="AW422" s="54"/>
      <c r="AX422" s="34"/>
      <c r="AY422" s="34" t="n">
        <v>0</v>
      </c>
    </row>
    <row r="423" customFormat="false" ht="15" hidden="false" customHeight="false" outlineLevel="0" collapsed="false">
      <c r="A423" s="16" t="s">
        <v>125</v>
      </c>
      <c r="B423" s="2" t="s">
        <v>51</v>
      </c>
      <c r="C423" s="32" t="n">
        <v>8.14</v>
      </c>
      <c r="D423" s="23" t="n">
        <v>21.4</v>
      </c>
      <c r="E423" s="33" t="n">
        <v>53.4</v>
      </c>
      <c r="F423" s="34" t="n">
        <f aca="false">E423*0.7</f>
        <v>37.38</v>
      </c>
      <c r="G423" s="33" t="n">
        <v>0.43</v>
      </c>
      <c r="H423" s="33" t="n">
        <v>8.12</v>
      </c>
      <c r="I423" s="23" t="n">
        <v>21</v>
      </c>
      <c r="J423" s="49"/>
      <c r="K423" s="37"/>
      <c r="L423" s="33" t="n">
        <v>1.14</v>
      </c>
      <c r="M423" s="33" t="n">
        <v>8.12</v>
      </c>
      <c r="N423" s="23" t="n">
        <v>20.9</v>
      </c>
      <c r="O423" s="49"/>
      <c r="P423" s="37"/>
      <c r="Q423" s="33" t="n">
        <v>1.25</v>
      </c>
      <c r="R423" s="33" t="n">
        <v>8.1</v>
      </c>
      <c r="S423" s="23" t="n">
        <v>21.3</v>
      </c>
      <c r="T423" s="49"/>
      <c r="U423" s="37"/>
      <c r="V423" s="34" t="n">
        <v>0</v>
      </c>
      <c r="W423" s="33" t="n">
        <v>8.1</v>
      </c>
      <c r="X423" s="23" t="n">
        <v>21.3</v>
      </c>
      <c r="Y423" s="49"/>
      <c r="Z423" s="37"/>
      <c r="AA423" s="34" t="n">
        <v>0</v>
      </c>
      <c r="AB423" s="33" t="n">
        <v>8.05</v>
      </c>
      <c r="AC423" s="23" t="n">
        <v>21.4</v>
      </c>
      <c r="AD423" s="33" t="n">
        <v>53.3</v>
      </c>
      <c r="AE423" s="34" t="n">
        <f aca="false">AD423*0.7</f>
        <v>37.31</v>
      </c>
      <c r="AF423" s="33"/>
      <c r="AG423" s="34" t="n">
        <v>0</v>
      </c>
      <c r="AH423" s="33"/>
      <c r="AI423" s="33" t="n">
        <v>8.06</v>
      </c>
      <c r="AJ423" s="23" t="n">
        <v>21.4</v>
      </c>
      <c r="AK423" s="33" t="n">
        <v>53.3</v>
      </c>
      <c r="AL423" s="34" t="n">
        <f aca="false">AK423*0.7</f>
        <v>37.31</v>
      </c>
      <c r="AM423" s="33"/>
      <c r="AN423" s="34" t="n">
        <v>0</v>
      </c>
      <c r="AO423" s="2" t="n">
        <v>6.35</v>
      </c>
      <c r="AP423" s="23" t="n">
        <v>21.3</v>
      </c>
      <c r="AQ423" s="33" t="n">
        <v>237</v>
      </c>
      <c r="AR423" s="34" t="n">
        <f aca="false">AQ423*0.55</f>
        <v>130.35</v>
      </c>
      <c r="AS423" s="34" t="n">
        <v>0</v>
      </c>
      <c r="AT423" s="33" t="n">
        <v>8.37</v>
      </c>
      <c r="AU423" s="23" t="n">
        <v>21.4</v>
      </c>
      <c r="AV423" s="33" t="n">
        <v>438.2</v>
      </c>
      <c r="AW423" s="34" t="n">
        <f aca="false">AV423*0.55</f>
        <v>241.01</v>
      </c>
      <c r="AX423" s="34" t="n">
        <v>1.1</v>
      </c>
      <c r="AY423" s="34" t="n">
        <v>0</v>
      </c>
    </row>
    <row r="424" customFormat="false" ht="15" hidden="false" customHeight="false" outlineLevel="0" collapsed="false">
      <c r="A424" s="16" t="s">
        <v>125</v>
      </c>
      <c r="B424" s="2" t="s">
        <v>52</v>
      </c>
      <c r="C424" s="32" t="n">
        <v>8.1</v>
      </c>
      <c r="D424" s="23" t="n">
        <v>21.5</v>
      </c>
      <c r="E424" s="33" t="n">
        <v>53.7</v>
      </c>
      <c r="F424" s="34" t="n">
        <f aca="false">E424*0.7</f>
        <v>37.59</v>
      </c>
      <c r="G424" s="33" t="n">
        <v>0.03</v>
      </c>
      <c r="H424" s="33" t="n">
        <v>8.09</v>
      </c>
      <c r="I424" s="23" t="n">
        <v>20.2</v>
      </c>
      <c r="J424" s="53"/>
      <c r="K424" s="53"/>
      <c r="L424" s="33" t="n">
        <v>0.41</v>
      </c>
      <c r="M424" s="33" t="n">
        <v>8.09</v>
      </c>
      <c r="N424" s="23" t="n">
        <v>20.2</v>
      </c>
      <c r="O424" s="53"/>
      <c r="P424" s="53"/>
      <c r="Q424" s="33" t="n">
        <v>0.33</v>
      </c>
      <c r="R424" s="33" t="n">
        <v>8.07</v>
      </c>
      <c r="S424" s="23" t="n">
        <v>20.2</v>
      </c>
      <c r="T424" s="53"/>
      <c r="U424" s="53"/>
      <c r="V424" s="34" t="n">
        <v>0</v>
      </c>
      <c r="W424" s="33" t="n">
        <v>8.06</v>
      </c>
      <c r="X424" s="23" t="n">
        <v>20.2</v>
      </c>
      <c r="Y424" s="53"/>
      <c r="Z424" s="53"/>
      <c r="AA424" s="34" t="n">
        <v>0</v>
      </c>
      <c r="AB424" s="33" t="n">
        <v>8.04</v>
      </c>
      <c r="AC424" s="23" t="n">
        <v>20.4</v>
      </c>
      <c r="AD424" s="33" t="n">
        <v>53.7</v>
      </c>
      <c r="AE424" s="34" t="n">
        <f aca="false">AD424*0.7</f>
        <v>37.59</v>
      </c>
      <c r="AF424" s="33"/>
      <c r="AG424" s="34" t="n">
        <v>0</v>
      </c>
      <c r="AH424" s="33"/>
      <c r="AI424" s="33" t="n">
        <v>8.04</v>
      </c>
      <c r="AJ424" s="23" t="n">
        <v>20.5</v>
      </c>
      <c r="AK424" s="33" t="n">
        <v>53.7</v>
      </c>
      <c r="AL424" s="34" t="n">
        <f aca="false">AK424*0.7</f>
        <v>37.59</v>
      </c>
      <c r="AM424" s="33"/>
      <c r="AN424" s="34" t="n">
        <v>0</v>
      </c>
      <c r="AO424" s="2" t="n">
        <v>6.36</v>
      </c>
      <c r="AP424" s="23" t="n">
        <v>21</v>
      </c>
      <c r="AQ424" s="33" t="n">
        <v>261</v>
      </c>
      <c r="AR424" s="34" t="n">
        <f aca="false">AQ424*0.7</f>
        <v>182.7</v>
      </c>
      <c r="AS424" s="34" t="n">
        <v>0</v>
      </c>
      <c r="AT424" s="33" t="n">
        <v>8.29</v>
      </c>
      <c r="AU424" s="23" t="n">
        <v>21.3</v>
      </c>
      <c r="AV424" s="33" t="n">
        <v>390.8</v>
      </c>
      <c r="AW424" s="33" t="n">
        <f aca="false">AV424*0.55</f>
        <v>214.94</v>
      </c>
      <c r="AX424" s="33"/>
      <c r="AY424" s="33" t="n">
        <v>0</v>
      </c>
    </row>
    <row r="425" customFormat="false" ht="15" hidden="false" customHeight="false" outlineLevel="0" collapsed="false">
      <c r="A425" s="16" t="s">
        <v>125</v>
      </c>
      <c r="B425" s="2" t="s">
        <v>57</v>
      </c>
      <c r="C425" s="32" t="n">
        <v>8.1</v>
      </c>
      <c r="D425" s="23" t="n">
        <v>21.3</v>
      </c>
      <c r="E425" s="33" t="n">
        <v>538</v>
      </c>
      <c r="F425" s="34" t="n">
        <f aca="false">0.7*E425</f>
        <v>376.6</v>
      </c>
      <c r="G425" s="34" t="n">
        <v>0.25</v>
      </c>
      <c r="H425" s="33" t="n">
        <v>8.06</v>
      </c>
      <c r="I425" s="23" t="n">
        <v>21</v>
      </c>
      <c r="J425" s="49"/>
      <c r="K425" s="49"/>
      <c r="L425" s="33" t="n">
        <v>0.98</v>
      </c>
      <c r="M425" s="33" t="n">
        <v>8.07</v>
      </c>
      <c r="N425" s="23" t="n">
        <v>20.5</v>
      </c>
      <c r="O425" s="49"/>
      <c r="P425" s="49"/>
      <c r="Q425" s="33" t="n">
        <v>0.1</v>
      </c>
      <c r="R425" s="34" t="n">
        <v>8.06</v>
      </c>
      <c r="S425" s="19" t="n">
        <v>20.5</v>
      </c>
      <c r="T425" s="49"/>
      <c r="U425" s="49"/>
      <c r="V425" s="34" t="n">
        <v>0</v>
      </c>
      <c r="W425" s="33" t="n">
        <v>8.06</v>
      </c>
      <c r="X425" s="19" t="n">
        <v>20.5</v>
      </c>
      <c r="Y425" s="49"/>
      <c r="Z425" s="49"/>
      <c r="AA425" s="34" t="n">
        <v>0</v>
      </c>
      <c r="AB425" s="33" t="n">
        <v>8.04</v>
      </c>
      <c r="AC425" s="23" t="n">
        <v>20.3</v>
      </c>
      <c r="AD425" s="33" t="n">
        <v>53.7</v>
      </c>
      <c r="AE425" s="34" t="n">
        <f aca="false">0.7*AD425</f>
        <v>37.59</v>
      </c>
      <c r="AF425" s="33"/>
      <c r="AG425" s="34" t="n">
        <v>0</v>
      </c>
      <c r="AH425" s="45"/>
      <c r="AI425" s="33" t="n">
        <v>8.04</v>
      </c>
      <c r="AJ425" s="23" t="n">
        <v>20.2</v>
      </c>
      <c r="AK425" s="33" t="n">
        <v>53.7</v>
      </c>
      <c r="AL425" s="34" t="n">
        <f aca="false">AK426*0.55</f>
        <v>0</v>
      </c>
      <c r="AM425" s="33"/>
      <c r="AN425" s="34" t="n">
        <v>0</v>
      </c>
      <c r="AO425" s="2" t="n">
        <v>6.5</v>
      </c>
      <c r="AP425" s="23" t="n">
        <v>20.7</v>
      </c>
      <c r="AQ425" s="33" t="n">
        <v>258</v>
      </c>
      <c r="AR425" s="34" t="n">
        <f aca="false">AQ426*0.55</f>
        <v>0</v>
      </c>
      <c r="AS425" s="34" t="n">
        <v>0</v>
      </c>
      <c r="AT425" s="33" t="n">
        <v>8.29</v>
      </c>
      <c r="AU425" s="23" t="n">
        <v>21.3</v>
      </c>
      <c r="AV425" s="33" t="n">
        <v>394.9</v>
      </c>
      <c r="AW425" s="54"/>
      <c r="AX425" s="34"/>
      <c r="AY425" s="34" t="n">
        <v>0</v>
      </c>
    </row>
    <row r="426" customFormat="false" ht="15" hidden="false" customHeight="false" outlineLevel="0" collapsed="false">
      <c r="A426" s="16" t="s">
        <v>126</v>
      </c>
      <c r="B426" s="2" t="s">
        <v>51</v>
      </c>
      <c r="C426" s="29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</row>
    <row r="427" customFormat="false" ht="15" hidden="false" customHeight="false" outlineLevel="0" collapsed="false">
      <c r="A427" s="16" t="s">
        <v>126</v>
      </c>
      <c r="B427" s="2" t="s">
        <v>52</v>
      </c>
      <c r="C427" s="29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</row>
    <row r="428" customFormat="false" ht="15" hidden="false" customHeight="false" outlineLevel="0" collapsed="false">
      <c r="A428" s="16" t="s">
        <v>126</v>
      </c>
      <c r="B428" s="2" t="s">
        <v>57</v>
      </c>
      <c r="C428" s="29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</row>
    <row r="429" customFormat="false" ht="15" hidden="false" customHeight="false" outlineLevel="0" collapsed="false">
      <c r="A429" s="16" t="s">
        <v>127</v>
      </c>
      <c r="B429" s="2" t="s">
        <v>51</v>
      </c>
      <c r="C429" s="32" t="n">
        <v>8.14</v>
      </c>
      <c r="D429" s="23" t="n">
        <v>21.6</v>
      </c>
      <c r="E429" s="33" t="n">
        <v>53.7</v>
      </c>
      <c r="F429" s="34" t="n">
        <f aca="false">E429*0.7</f>
        <v>37.59</v>
      </c>
      <c r="G429" s="34" t="n">
        <v>0</v>
      </c>
      <c r="H429" s="33" t="n">
        <v>8.12</v>
      </c>
      <c r="I429" s="23" t="n">
        <v>21</v>
      </c>
      <c r="J429" s="49"/>
      <c r="K429" s="37"/>
      <c r="L429" s="33" t="n">
        <v>0.18</v>
      </c>
      <c r="M429" s="33" t="n">
        <v>8.12</v>
      </c>
      <c r="N429" s="23" t="n">
        <v>21.1</v>
      </c>
      <c r="O429" s="49"/>
      <c r="P429" s="37"/>
      <c r="Q429" s="33" t="n">
        <v>0.35</v>
      </c>
      <c r="R429" s="33" t="n">
        <v>8.1</v>
      </c>
      <c r="S429" s="23" t="n">
        <v>20.7</v>
      </c>
      <c r="T429" s="49"/>
      <c r="U429" s="37"/>
      <c r="V429" s="34" t="n">
        <v>0</v>
      </c>
      <c r="W429" s="33" t="n">
        <v>8.1</v>
      </c>
      <c r="X429" s="23" t="n">
        <v>20.7</v>
      </c>
      <c r="Y429" s="49"/>
      <c r="Z429" s="37"/>
      <c r="AA429" s="34" t="n">
        <v>0</v>
      </c>
      <c r="AB429" s="33" t="n">
        <v>8.08</v>
      </c>
      <c r="AC429" s="23" t="n">
        <v>20.9</v>
      </c>
      <c r="AD429" s="33" t="n">
        <v>53.7</v>
      </c>
      <c r="AE429" s="34" t="n">
        <f aca="false">AD429*0.7</f>
        <v>37.59</v>
      </c>
      <c r="AF429" s="33"/>
      <c r="AG429" s="34" t="n">
        <v>0</v>
      </c>
      <c r="AH429" s="33"/>
      <c r="AI429" s="33" t="n">
        <v>8.08</v>
      </c>
      <c r="AJ429" s="23" t="n">
        <v>21</v>
      </c>
      <c r="AK429" s="33" t="n">
        <v>53.7</v>
      </c>
      <c r="AL429" s="34" t="n">
        <f aca="false">AK429*0.7</f>
        <v>37.59</v>
      </c>
      <c r="AM429" s="33"/>
      <c r="AN429" s="34" t="n">
        <v>0</v>
      </c>
      <c r="AO429" s="2" t="n">
        <v>6.31</v>
      </c>
      <c r="AP429" s="23" t="n">
        <v>21.1</v>
      </c>
      <c r="AQ429" s="33" t="n">
        <v>251</v>
      </c>
      <c r="AR429" s="34" t="n">
        <f aca="false">AQ429*0.55</f>
        <v>138.05</v>
      </c>
      <c r="AS429" s="34" t="n">
        <v>0</v>
      </c>
      <c r="AT429" s="33" t="n">
        <v>8.3</v>
      </c>
      <c r="AU429" s="23" t="n">
        <v>22.7</v>
      </c>
      <c r="AV429" s="33" t="n">
        <v>391</v>
      </c>
      <c r="AW429" s="34" t="n">
        <f aca="false">AV429*0.55</f>
        <v>215.05</v>
      </c>
      <c r="AX429" s="34" t="n">
        <v>1.1</v>
      </c>
      <c r="AY429" s="34" t="n">
        <v>0</v>
      </c>
    </row>
    <row r="430" customFormat="false" ht="15" hidden="false" customHeight="false" outlineLevel="0" collapsed="false">
      <c r="A430" s="16" t="s">
        <v>127</v>
      </c>
      <c r="B430" s="2" t="s">
        <v>52</v>
      </c>
      <c r="C430" s="29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P430" s="21"/>
      <c r="AQ430" s="21"/>
      <c r="AR430" s="21"/>
      <c r="AS430" s="21"/>
      <c r="AT430" s="33" t="n">
        <v>8.24</v>
      </c>
      <c r="AU430" s="23" t="n">
        <v>21.4</v>
      </c>
      <c r="AV430" s="33" t="n">
        <v>393.9</v>
      </c>
      <c r="AW430" s="33" t="n">
        <f aca="false">AV430*0.55</f>
        <v>216.645</v>
      </c>
      <c r="AX430" s="33" t="n">
        <v>1</v>
      </c>
      <c r="AY430" s="33" t="n">
        <v>0</v>
      </c>
    </row>
    <row r="431" customFormat="false" ht="15" hidden="false" customHeight="false" outlineLevel="0" collapsed="false">
      <c r="A431" s="16" t="s">
        <v>127</v>
      </c>
      <c r="B431" s="2" t="s">
        <v>57</v>
      </c>
      <c r="C431" s="32" t="n">
        <v>8.1</v>
      </c>
      <c r="D431" s="23" t="n">
        <v>23.8</v>
      </c>
      <c r="E431" s="33" t="n">
        <v>53.7</v>
      </c>
      <c r="F431" s="34" t="n">
        <f aca="false">0.7*E431</f>
        <v>37.59</v>
      </c>
      <c r="G431" s="34" t="n">
        <v>0.01</v>
      </c>
      <c r="H431" s="33" t="n">
        <v>8.06</v>
      </c>
      <c r="I431" s="23" t="n">
        <v>20.8</v>
      </c>
      <c r="J431" s="49"/>
      <c r="K431" s="49"/>
      <c r="L431" s="33" t="n">
        <v>0.14</v>
      </c>
      <c r="M431" s="33" t="n">
        <v>8.06</v>
      </c>
      <c r="N431" s="23" t="n">
        <v>20.8</v>
      </c>
      <c r="O431" s="49"/>
      <c r="P431" s="49"/>
      <c r="Q431" s="33" t="n">
        <v>0.2</v>
      </c>
      <c r="R431" s="34" t="n">
        <v>8.03</v>
      </c>
      <c r="S431" s="19" t="n">
        <v>20.5</v>
      </c>
      <c r="T431" s="49"/>
      <c r="U431" s="49"/>
      <c r="V431" s="34" t="n">
        <v>0</v>
      </c>
      <c r="W431" s="33" t="n">
        <v>8.04</v>
      </c>
      <c r="X431" s="19" t="n">
        <v>20.7</v>
      </c>
      <c r="Y431" s="49"/>
      <c r="Z431" s="49"/>
      <c r="AA431" s="34" t="n">
        <v>0</v>
      </c>
      <c r="AB431" s="33" t="n">
        <v>8.01</v>
      </c>
      <c r="AC431" s="23" t="n">
        <v>20.6</v>
      </c>
      <c r="AD431" s="33" t="n">
        <v>53.7</v>
      </c>
      <c r="AE431" s="34" t="n">
        <f aca="false">0.7*AD431</f>
        <v>37.59</v>
      </c>
      <c r="AF431" s="33"/>
      <c r="AG431" s="34" t="n">
        <v>0</v>
      </c>
      <c r="AH431" s="45"/>
      <c r="AI431" s="33" t="n">
        <v>8.01</v>
      </c>
      <c r="AJ431" s="23" t="n">
        <v>20.7</v>
      </c>
      <c r="AK431" s="33" t="n">
        <v>53.7</v>
      </c>
      <c r="AL431" s="34" t="n">
        <f aca="false">AK432*0.55</f>
        <v>29.7</v>
      </c>
      <c r="AM431" s="33"/>
      <c r="AN431" s="34" t="n">
        <v>0</v>
      </c>
      <c r="AO431" s="2" t="n">
        <v>6.68</v>
      </c>
      <c r="AP431" s="23" t="n">
        <v>21.3</v>
      </c>
      <c r="AQ431" s="33" t="n">
        <v>245</v>
      </c>
      <c r="AR431" s="34" t="n">
        <f aca="false">AQ432*0.55</f>
        <v>172.15</v>
      </c>
      <c r="AS431" s="34" t="n">
        <v>0</v>
      </c>
      <c r="AT431" s="33" t="n">
        <v>8.29</v>
      </c>
      <c r="AU431" s="23" t="n">
        <v>21.6</v>
      </c>
      <c r="AV431" s="33" t="n">
        <v>398.8</v>
      </c>
      <c r="AW431" s="54"/>
      <c r="AX431" s="34" t="n">
        <v>1</v>
      </c>
      <c r="AY431" s="34" t="n">
        <v>0</v>
      </c>
    </row>
    <row r="432" customFormat="false" ht="15" hidden="false" customHeight="false" outlineLevel="0" collapsed="false">
      <c r="A432" s="16" t="s">
        <v>128</v>
      </c>
      <c r="B432" s="2" t="s">
        <v>51</v>
      </c>
      <c r="C432" s="32" t="n">
        <v>8.13</v>
      </c>
      <c r="D432" s="23" t="n">
        <v>21.4</v>
      </c>
      <c r="E432" s="33" t="n">
        <v>54.1</v>
      </c>
      <c r="F432" s="34" t="n">
        <f aca="false">E432*0.7</f>
        <v>37.87</v>
      </c>
      <c r="G432" s="34" t="n">
        <v>0.66</v>
      </c>
      <c r="H432" s="33" t="n">
        <v>8.12</v>
      </c>
      <c r="I432" s="23" t="n">
        <v>21.3</v>
      </c>
      <c r="J432" s="49"/>
      <c r="K432" s="37"/>
      <c r="L432" s="33" t="n">
        <v>0.17</v>
      </c>
      <c r="M432" s="33" t="n">
        <v>8.11</v>
      </c>
      <c r="N432" s="23" t="n">
        <v>21.2</v>
      </c>
      <c r="O432" s="49"/>
      <c r="P432" s="37"/>
      <c r="Q432" s="33" t="n">
        <v>0.29</v>
      </c>
      <c r="R432" s="33" t="n">
        <v>8.1</v>
      </c>
      <c r="S432" s="23" t="n">
        <v>21.1</v>
      </c>
      <c r="T432" s="49"/>
      <c r="U432" s="37"/>
      <c r="V432" s="34" t="n">
        <v>0.03</v>
      </c>
      <c r="W432" s="33" t="n">
        <v>8.1</v>
      </c>
      <c r="X432" s="23" t="n">
        <v>21.1</v>
      </c>
      <c r="Y432" s="49"/>
      <c r="Z432" s="37"/>
      <c r="AA432" s="34" t="n">
        <v>0.02</v>
      </c>
      <c r="AB432" s="33" t="n">
        <v>8.03</v>
      </c>
      <c r="AC432" s="23" t="n">
        <v>21</v>
      </c>
      <c r="AD432" s="33" t="n">
        <v>54</v>
      </c>
      <c r="AE432" s="34" t="n">
        <f aca="false">AD432*0.7</f>
        <v>37.8</v>
      </c>
      <c r="AF432" s="33"/>
      <c r="AG432" s="34" t="n">
        <v>0</v>
      </c>
      <c r="AH432" s="33"/>
      <c r="AI432" s="33" t="n">
        <v>8.03</v>
      </c>
      <c r="AJ432" s="23" t="n">
        <v>21</v>
      </c>
      <c r="AK432" s="33" t="n">
        <v>54</v>
      </c>
      <c r="AL432" s="34" t="n">
        <f aca="false">AK432*0.7</f>
        <v>37.8</v>
      </c>
      <c r="AM432" s="33"/>
      <c r="AN432" s="34" t="n">
        <v>0</v>
      </c>
      <c r="AO432" s="2" t="n">
        <v>6.33</v>
      </c>
      <c r="AP432" s="23" t="n">
        <v>20.8</v>
      </c>
      <c r="AQ432" s="33" t="n">
        <v>313</v>
      </c>
      <c r="AR432" s="34" t="n">
        <f aca="false">AQ432*0.55</f>
        <v>172.15</v>
      </c>
      <c r="AS432" s="34" t="n">
        <v>0</v>
      </c>
      <c r="AT432" s="33" t="n">
        <v>8.22</v>
      </c>
      <c r="AU432" s="23" t="n">
        <v>21.4</v>
      </c>
      <c r="AV432" s="33" t="n">
        <v>395.3</v>
      </c>
      <c r="AW432" s="34" t="n">
        <f aca="false">AV432*0.55</f>
        <v>217.415</v>
      </c>
      <c r="AX432" s="34" t="n">
        <v>1</v>
      </c>
      <c r="AY432" s="34" t="n">
        <v>0</v>
      </c>
    </row>
    <row r="433" customFormat="false" ht="15" hidden="false" customHeight="false" outlineLevel="0" collapsed="false">
      <c r="A433" s="16" t="s">
        <v>128</v>
      </c>
      <c r="B433" s="2" t="s">
        <v>52</v>
      </c>
      <c r="C433" s="32" t="n">
        <v>8.11</v>
      </c>
      <c r="D433" s="23" t="n">
        <v>22.4</v>
      </c>
      <c r="E433" s="33" t="n">
        <v>53.8</v>
      </c>
      <c r="F433" s="34" t="n">
        <f aca="false">E433*0.7</f>
        <v>37.66</v>
      </c>
      <c r="G433" s="33" t="n">
        <v>0.55</v>
      </c>
      <c r="H433" s="33" t="n">
        <v>8.1</v>
      </c>
      <c r="I433" s="23" t="n">
        <v>20.2</v>
      </c>
      <c r="J433" s="53"/>
      <c r="K433" s="53"/>
      <c r="L433" s="33" t="n">
        <v>0.64</v>
      </c>
      <c r="M433" s="33" t="n">
        <v>8.1</v>
      </c>
      <c r="N433" s="23" t="n">
        <v>20.2</v>
      </c>
      <c r="O433" s="53"/>
      <c r="P433" s="53"/>
      <c r="Q433" s="33" t="n">
        <v>0.61</v>
      </c>
      <c r="R433" s="33" t="n">
        <v>8.08</v>
      </c>
      <c r="S433" s="23" t="n">
        <v>20.2</v>
      </c>
      <c r="T433" s="53"/>
      <c r="U433" s="53"/>
      <c r="V433" s="34" t="n">
        <v>0</v>
      </c>
      <c r="W433" s="33" t="n">
        <v>8.08</v>
      </c>
      <c r="X433" s="23" t="n">
        <v>20.4</v>
      </c>
      <c r="Y433" s="53"/>
      <c r="Z433" s="53"/>
      <c r="AA433" s="34" t="n">
        <v>0</v>
      </c>
      <c r="AB433" s="33" t="n">
        <v>8.05</v>
      </c>
      <c r="AC433" s="23" t="n">
        <v>20.3</v>
      </c>
      <c r="AD433" s="33" t="n">
        <v>53.6</v>
      </c>
      <c r="AE433" s="34" t="n">
        <f aca="false">AD433*0.7</f>
        <v>37.52</v>
      </c>
      <c r="AF433" s="33"/>
      <c r="AG433" s="34" t="n">
        <v>0</v>
      </c>
      <c r="AH433" s="33"/>
      <c r="AI433" s="33" t="n">
        <v>8.05</v>
      </c>
      <c r="AJ433" s="23" t="n">
        <v>20.5</v>
      </c>
      <c r="AK433" s="33" t="n">
        <v>53.6</v>
      </c>
      <c r="AL433" s="34" t="n">
        <f aca="false">AK433*0.7</f>
        <v>37.52</v>
      </c>
      <c r="AM433" s="33"/>
      <c r="AN433" s="34" t="n">
        <v>0</v>
      </c>
      <c r="AO433" s="2" t="n">
        <v>6.47</v>
      </c>
      <c r="AP433" s="23" t="n">
        <v>20.9</v>
      </c>
      <c r="AQ433" s="33" t="n">
        <v>304</v>
      </c>
      <c r="AR433" s="34" t="n">
        <f aca="false">AQ433*0.55</f>
        <v>167.2</v>
      </c>
      <c r="AS433" s="34" t="n">
        <v>0</v>
      </c>
      <c r="AT433" s="33" t="n">
        <v>8.2</v>
      </c>
      <c r="AU433" s="23" t="n">
        <v>21.4</v>
      </c>
      <c r="AV433" s="33" t="n">
        <v>392.3</v>
      </c>
      <c r="AW433" s="33" t="n">
        <f aca="false">AV433*0.55</f>
        <v>215.765</v>
      </c>
      <c r="AX433" s="33" t="n">
        <v>1</v>
      </c>
      <c r="AY433" s="33" t="n">
        <v>0</v>
      </c>
    </row>
    <row r="434" customFormat="false" ht="15" hidden="false" customHeight="false" outlineLevel="0" collapsed="false">
      <c r="A434" s="16" t="s">
        <v>128</v>
      </c>
      <c r="B434" s="2" t="s">
        <v>57</v>
      </c>
      <c r="C434" s="32" t="n">
        <v>8.14</v>
      </c>
      <c r="D434" s="23" t="n">
        <v>23.2</v>
      </c>
      <c r="E434" s="33" t="n">
        <v>53.9</v>
      </c>
      <c r="F434" s="34" t="n">
        <f aca="false">0.7*E434</f>
        <v>37.73</v>
      </c>
      <c r="G434" s="34" t="n">
        <v>0.67</v>
      </c>
      <c r="H434" s="33" t="n">
        <v>8.12</v>
      </c>
      <c r="I434" s="23" t="n">
        <v>22.2</v>
      </c>
      <c r="J434" s="49"/>
      <c r="K434" s="49"/>
      <c r="L434" s="33" t="n">
        <v>0.33</v>
      </c>
      <c r="M434" s="33" t="n">
        <v>8.12</v>
      </c>
      <c r="N434" s="23" t="n">
        <v>22.1</v>
      </c>
      <c r="O434" s="49"/>
      <c r="P434" s="49"/>
      <c r="Q434" s="33" t="n">
        <v>0.28</v>
      </c>
      <c r="R434" s="34" t="n">
        <v>8.1</v>
      </c>
      <c r="S434" s="19" t="n">
        <v>22</v>
      </c>
      <c r="T434" s="49"/>
      <c r="U434" s="49"/>
      <c r="V434" s="34" t="n">
        <v>0</v>
      </c>
      <c r="W434" s="33" t="n">
        <v>8.09</v>
      </c>
      <c r="X434" s="19" t="n">
        <v>22</v>
      </c>
      <c r="Y434" s="49"/>
      <c r="Z434" s="49"/>
      <c r="AA434" s="34" t="n">
        <v>0</v>
      </c>
      <c r="AB434" s="33" t="n">
        <v>8.04</v>
      </c>
      <c r="AC434" s="23" t="n">
        <v>20.3</v>
      </c>
      <c r="AD434" s="33" t="n">
        <v>53.7</v>
      </c>
      <c r="AE434" s="34" t="n">
        <f aca="false">0.7*AD434</f>
        <v>37.59</v>
      </c>
      <c r="AF434" s="33"/>
      <c r="AG434" s="34" t="n">
        <v>0</v>
      </c>
      <c r="AH434" s="45"/>
      <c r="AI434" s="33" t="n">
        <v>8.04</v>
      </c>
      <c r="AJ434" s="23" t="n">
        <v>20.3</v>
      </c>
      <c r="AK434" s="33" t="n">
        <v>53.7</v>
      </c>
      <c r="AL434" s="34" t="n">
        <f aca="false">AK435*0.55</f>
        <v>29.59</v>
      </c>
      <c r="AM434" s="33"/>
      <c r="AN434" s="34" t="n">
        <v>0</v>
      </c>
      <c r="AO434" s="2" t="n">
        <v>6.33</v>
      </c>
      <c r="AP434" s="23" t="n">
        <v>20.8</v>
      </c>
      <c r="AQ434" s="33" t="n">
        <v>252</v>
      </c>
      <c r="AR434" s="34" t="n">
        <f aca="false">AQ435*0.55</f>
        <v>168.85</v>
      </c>
      <c r="AS434" s="34" t="n">
        <v>0</v>
      </c>
      <c r="AT434" s="33" t="n">
        <v>8.26</v>
      </c>
      <c r="AU434" s="23" t="n">
        <v>21.7</v>
      </c>
      <c r="AV434" s="33" t="n">
        <v>390.5</v>
      </c>
      <c r="AW434" s="54"/>
      <c r="AX434" s="34" t="n">
        <v>1</v>
      </c>
      <c r="AY434" s="34" t="n">
        <v>0</v>
      </c>
    </row>
    <row r="435" customFormat="false" ht="15" hidden="false" customHeight="false" outlineLevel="0" collapsed="false">
      <c r="A435" s="16" t="s">
        <v>129</v>
      </c>
      <c r="B435" s="2" t="s">
        <v>51</v>
      </c>
      <c r="C435" s="32" t="n">
        <v>8.14</v>
      </c>
      <c r="D435" s="23" t="n">
        <v>22.3</v>
      </c>
      <c r="E435" s="33" t="n">
        <v>53.9</v>
      </c>
      <c r="F435" s="34" t="n">
        <f aca="false">E435*0.7</f>
        <v>37.73</v>
      </c>
      <c r="G435" s="34" t="n">
        <v>0.72</v>
      </c>
      <c r="H435" s="33" t="n">
        <v>8.12</v>
      </c>
      <c r="I435" s="23" t="n">
        <v>22</v>
      </c>
      <c r="J435" s="49"/>
      <c r="K435" s="37"/>
      <c r="L435" s="33" t="n">
        <v>0.51</v>
      </c>
      <c r="M435" s="33" t="n">
        <v>8.12</v>
      </c>
      <c r="N435" s="23" t="n">
        <v>21.9</v>
      </c>
      <c r="O435" s="49"/>
      <c r="P435" s="37"/>
      <c r="Q435" s="33" t="n">
        <v>0.53</v>
      </c>
      <c r="R435" s="33" t="n">
        <v>8.1</v>
      </c>
      <c r="S435" s="23" t="n">
        <v>23</v>
      </c>
      <c r="T435" s="49"/>
      <c r="U435" s="37"/>
      <c r="V435" s="34" t="n">
        <v>0</v>
      </c>
      <c r="W435" s="33" t="n">
        <v>8.1</v>
      </c>
      <c r="X435" s="23" t="n">
        <v>23</v>
      </c>
      <c r="Y435" s="49"/>
      <c r="Z435" s="37"/>
      <c r="AA435" s="34" t="n">
        <v>0</v>
      </c>
      <c r="AB435" s="33" t="n">
        <v>8.09</v>
      </c>
      <c r="AC435" s="23" t="n">
        <v>21</v>
      </c>
      <c r="AD435" s="33" t="n">
        <v>53.8</v>
      </c>
      <c r="AE435" s="34" t="n">
        <f aca="false">AD435*0.7</f>
        <v>37.66</v>
      </c>
      <c r="AF435" s="33"/>
      <c r="AG435" s="34" t="n">
        <v>0</v>
      </c>
      <c r="AH435" s="33"/>
      <c r="AI435" s="33" t="n">
        <v>8.09</v>
      </c>
      <c r="AJ435" s="23" t="n">
        <v>21</v>
      </c>
      <c r="AK435" s="33" t="n">
        <v>53.8</v>
      </c>
      <c r="AL435" s="34" t="n">
        <f aca="false">AK435*0.7</f>
        <v>37.66</v>
      </c>
      <c r="AM435" s="33"/>
      <c r="AN435" s="34" t="n">
        <v>0</v>
      </c>
      <c r="AO435" s="2" t="n">
        <v>6.33</v>
      </c>
      <c r="AP435" s="23" t="n">
        <v>21.2</v>
      </c>
      <c r="AQ435" s="33" t="n">
        <v>307</v>
      </c>
      <c r="AR435" s="34" t="n">
        <f aca="false">AQ435*0.55</f>
        <v>168.85</v>
      </c>
      <c r="AS435" s="34" t="n">
        <v>0</v>
      </c>
      <c r="AT435" s="33" t="n">
        <v>8.23</v>
      </c>
      <c r="AU435" s="23" t="n">
        <v>23.2</v>
      </c>
      <c r="AV435" s="33" t="n">
        <v>405.3</v>
      </c>
      <c r="AW435" s="34" t="n">
        <f aca="false">AV435*0.55</f>
        <v>222.915</v>
      </c>
      <c r="AX435" s="34" t="n">
        <v>1</v>
      </c>
      <c r="AY435" s="34" t="n">
        <v>0</v>
      </c>
    </row>
    <row r="436" customFormat="false" ht="15" hidden="false" customHeight="false" outlineLevel="0" collapsed="false">
      <c r="A436" s="16" t="s">
        <v>129</v>
      </c>
      <c r="B436" s="2" t="s">
        <v>52</v>
      </c>
      <c r="C436" s="32" t="n">
        <v>8.12</v>
      </c>
      <c r="D436" s="23" t="n">
        <v>21.4</v>
      </c>
      <c r="E436" s="33" t="n">
        <v>54</v>
      </c>
      <c r="F436" s="34" t="n">
        <f aca="false">0.7*E436</f>
        <v>37.8</v>
      </c>
      <c r="G436" s="33" t="n">
        <v>0.18</v>
      </c>
      <c r="H436" s="33" t="n">
        <v>8.1</v>
      </c>
      <c r="I436" s="23" t="n">
        <v>20.2</v>
      </c>
      <c r="J436" s="53"/>
      <c r="K436" s="53"/>
      <c r="L436" s="33" t="n">
        <v>0.39</v>
      </c>
      <c r="M436" s="33" t="n">
        <v>8.1</v>
      </c>
      <c r="N436" s="23" t="n">
        <v>20.1</v>
      </c>
      <c r="O436" s="53"/>
      <c r="P436" s="53"/>
      <c r="Q436" s="33" t="n">
        <v>0.21</v>
      </c>
      <c r="R436" s="33" t="n">
        <v>8.07</v>
      </c>
      <c r="S436" s="23" t="n">
        <v>20.1</v>
      </c>
      <c r="T436" s="53"/>
      <c r="U436" s="53"/>
      <c r="V436" s="34" t="n">
        <v>0</v>
      </c>
      <c r="W436" s="33" t="n">
        <v>8.07</v>
      </c>
      <c r="X436" s="23" t="n">
        <v>20.1</v>
      </c>
      <c r="Y436" s="53"/>
      <c r="Z436" s="53"/>
      <c r="AA436" s="34" t="n">
        <v>0</v>
      </c>
      <c r="AB436" s="33" t="n">
        <v>8.05</v>
      </c>
      <c r="AC436" s="23" t="n">
        <v>20.2</v>
      </c>
      <c r="AD436" s="33" t="n">
        <v>53.8</v>
      </c>
      <c r="AE436" s="34" t="n">
        <f aca="false">AD436*0.7</f>
        <v>37.66</v>
      </c>
      <c r="AF436" s="33"/>
      <c r="AG436" s="34" t="n">
        <v>0</v>
      </c>
      <c r="AH436" s="33"/>
      <c r="AI436" s="33" t="n">
        <v>8.05</v>
      </c>
      <c r="AJ436" s="23" t="n">
        <v>20.2</v>
      </c>
      <c r="AK436" s="33" t="n">
        <v>53.8</v>
      </c>
      <c r="AL436" s="34" t="n">
        <f aca="false">AK436*0.7</f>
        <v>37.66</v>
      </c>
      <c r="AM436" s="33"/>
      <c r="AN436" s="34" t="n">
        <v>0</v>
      </c>
      <c r="AO436" s="2" t="n">
        <v>6.25</v>
      </c>
      <c r="AP436" s="23" t="n">
        <v>20.7</v>
      </c>
      <c r="AQ436" s="33" t="n">
        <v>257</v>
      </c>
      <c r="AR436" s="33" t="n">
        <f aca="false">AQ436*0.55</f>
        <v>141.35</v>
      </c>
      <c r="AS436" s="34" t="n">
        <v>0</v>
      </c>
      <c r="AT436" s="33" t="n">
        <v>8.25</v>
      </c>
      <c r="AU436" s="23" t="n">
        <v>21.3</v>
      </c>
      <c r="AV436" s="33" t="n">
        <v>398</v>
      </c>
      <c r="AW436" s="33" t="n">
        <f aca="false">AV436*0.55</f>
        <v>218.9</v>
      </c>
      <c r="AX436" s="33" t="n">
        <v>1</v>
      </c>
      <c r="AY436" s="34" t="n">
        <v>0</v>
      </c>
    </row>
    <row r="437" customFormat="false" ht="15" hidden="false" customHeight="false" outlineLevel="0" collapsed="false">
      <c r="A437" s="16" t="s">
        <v>129</v>
      </c>
      <c r="B437" s="2" t="s">
        <v>57</v>
      </c>
      <c r="C437" s="32" t="n">
        <v>8.14</v>
      </c>
      <c r="D437" s="23" t="n">
        <v>22.2</v>
      </c>
      <c r="E437" s="33" t="n">
        <v>54</v>
      </c>
      <c r="F437" s="34" t="n">
        <f aca="false">0.7*E437</f>
        <v>37.8</v>
      </c>
      <c r="G437" s="34" t="n">
        <v>0.28</v>
      </c>
      <c r="H437" s="33" t="n">
        <v>8.12</v>
      </c>
      <c r="I437" s="23" t="n">
        <v>22.7</v>
      </c>
      <c r="J437" s="49"/>
      <c r="K437" s="49"/>
      <c r="L437" s="33" t="n">
        <v>0.16</v>
      </c>
      <c r="M437" s="33" t="n">
        <v>8.12</v>
      </c>
      <c r="N437" s="23" t="n">
        <v>22.1</v>
      </c>
      <c r="O437" s="49"/>
      <c r="P437" s="49"/>
      <c r="Q437" s="33" t="n">
        <v>0.18</v>
      </c>
      <c r="R437" s="34" t="n">
        <v>8.1</v>
      </c>
      <c r="S437" s="19" t="n">
        <v>21</v>
      </c>
      <c r="T437" s="49"/>
      <c r="U437" s="49"/>
      <c r="V437" s="34" t="n">
        <v>0</v>
      </c>
      <c r="W437" s="33" t="n">
        <v>8.1</v>
      </c>
      <c r="X437" s="19" t="n">
        <v>21</v>
      </c>
      <c r="Y437" s="49"/>
      <c r="Z437" s="49"/>
      <c r="AA437" s="34" t="n">
        <v>0</v>
      </c>
      <c r="AB437" s="33" t="n">
        <v>8.05</v>
      </c>
      <c r="AC437" s="23" t="n">
        <v>20.8</v>
      </c>
      <c r="AD437" s="33" t="n">
        <v>53.8</v>
      </c>
      <c r="AE437" s="34" t="n">
        <f aca="false">0.7*AD437</f>
        <v>37.66</v>
      </c>
      <c r="AF437" s="33"/>
      <c r="AG437" s="34" t="n">
        <v>0</v>
      </c>
      <c r="AH437" s="45"/>
      <c r="AI437" s="33" t="n">
        <v>8.05</v>
      </c>
      <c r="AJ437" s="23" t="n">
        <v>20.8</v>
      </c>
      <c r="AK437" s="33" t="n">
        <v>53.8</v>
      </c>
      <c r="AL437" s="34" t="n">
        <f aca="false">AK438*0.55</f>
        <v>29.59</v>
      </c>
      <c r="AM437" s="33"/>
      <c r="AN437" s="34" t="n">
        <v>0</v>
      </c>
      <c r="AO437" s="2" t="n">
        <v>6.39</v>
      </c>
      <c r="AP437" s="23" t="n">
        <v>21</v>
      </c>
      <c r="AQ437" s="33" t="n">
        <v>272</v>
      </c>
      <c r="AR437" s="34" t="n">
        <f aca="false">AQ438*0.55</f>
        <v>160.93</v>
      </c>
      <c r="AS437" s="34" t="n">
        <v>0</v>
      </c>
      <c r="AT437" s="33" t="n">
        <v>8.21</v>
      </c>
      <c r="AU437" s="23" t="n">
        <v>21.3</v>
      </c>
      <c r="AV437" s="33" t="n">
        <v>390.1</v>
      </c>
      <c r="AW437" s="54"/>
      <c r="AX437" s="34" t="n">
        <v>1</v>
      </c>
      <c r="AY437" s="34" t="n">
        <v>0</v>
      </c>
    </row>
    <row r="438" customFormat="false" ht="15" hidden="false" customHeight="false" outlineLevel="0" collapsed="false">
      <c r="A438" s="16" t="s">
        <v>130</v>
      </c>
      <c r="B438" s="2" t="s">
        <v>51</v>
      </c>
      <c r="C438" s="32" t="n">
        <v>8.12</v>
      </c>
      <c r="D438" s="23" t="n">
        <v>22.3</v>
      </c>
      <c r="E438" s="33" t="n">
        <v>53.8</v>
      </c>
      <c r="F438" s="34" t="n">
        <f aca="false">E438*0.7</f>
        <v>37.66</v>
      </c>
      <c r="G438" s="34" t="n">
        <v>0.68</v>
      </c>
      <c r="H438" s="33" t="n">
        <v>8.11</v>
      </c>
      <c r="I438" s="23" t="n">
        <v>22.1</v>
      </c>
      <c r="J438" s="49"/>
      <c r="K438" s="37"/>
      <c r="L438" s="33" t="n">
        <v>0.12</v>
      </c>
      <c r="M438" s="33" t="n">
        <v>8.11</v>
      </c>
      <c r="N438" s="23" t="n">
        <v>22</v>
      </c>
      <c r="O438" s="49"/>
      <c r="P438" s="37"/>
      <c r="Q438" s="33" t="n">
        <v>0.11</v>
      </c>
      <c r="R438" s="33" t="n">
        <v>8.09</v>
      </c>
      <c r="S438" s="23" t="n">
        <v>21.7</v>
      </c>
      <c r="T438" s="49"/>
      <c r="U438" s="37"/>
      <c r="V438" s="34" t="n">
        <v>0</v>
      </c>
      <c r="W438" s="33" t="n">
        <v>8.09</v>
      </c>
      <c r="X438" s="23" t="n">
        <v>21.8</v>
      </c>
      <c r="Y438" s="49"/>
      <c r="Z438" s="37"/>
      <c r="AA438" s="34" t="n">
        <v>0</v>
      </c>
      <c r="AB438" s="33" t="n">
        <v>8.08</v>
      </c>
      <c r="AC438" s="23" t="n">
        <v>21.9</v>
      </c>
      <c r="AD438" s="33" t="n">
        <v>53.8</v>
      </c>
      <c r="AE438" s="34" t="n">
        <f aca="false">AD438*0.7</f>
        <v>37.66</v>
      </c>
      <c r="AF438" s="33"/>
      <c r="AG438" s="34" t="n">
        <v>0</v>
      </c>
      <c r="AH438" s="33"/>
      <c r="AI438" s="33" t="n">
        <v>8.08</v>
      </c>
      <c r="AJ438" s="23" t="n">
        <v>21.8</v>
      </c>
      <c r="AK438" s="33" t="n">
        <v>53.8</v>
      </c>
      <c r="AL438" s="34" t="n">
        <f aca="false">AK438*0.7</f>
        <v>37.66</v>
      </c>
      <c r="AM438" s="33"/>
      <c r="AN438" s="34" t="n">
        <v>0</v>
      </c>
      <c r="AO438" s="2" t="n">
        <v>6.58</v>
      </c>
      <c r="AP438" s="23" t="n">
        <v>21.6</v>
      </c>
      <c r="AQ438" s="33" t="n">
        <v>292.6</v>
      </c>
      <c r="AR438" s="34" t="n">
        <f aca="false">AQ438*0.55</f>
        <v>160.93</v>
      </c>
      <c r="AS438" s="34" t="n">
        <v>0</v>
      </c>
      <c r="AT438" s="33" t="n">
        <v>8.27</v>
      </c>
      <c r="AU438" s="23" t="n">
        <v>22.3</v>
      </c>
      <c r="AV438" s="33" t="n">
        <v>426.3</v>
      </c>
      <c r="AW438" s="34" t="n">
        <f aca="false">AV438*0.55</f>
        <v>234.465</v>
      </c>
      <c r="AX438" s="34" t="n">
        <v>1.1</v>
      </c>
      <c r="AY438" s="34" t="n">
        <v>0</v>
      </c>
    </row>
    <row r="439" customFormat="false" ht="15" hidden="false" customHeight="false" outlineLevel="0" collapsed="false">
      <c r="A439" s="16" t="s">
        <v>130</v>
      </c>
      <c r="B439" s="2" t="s">
        <v>52</v>
      </c>
      <c r="C439" s="32" t="n">
        <v>8.13</v>
      </c>
      <c r="D439" s="23" t="n">
        <v>21.9</v>
      </c>
      <c r="E439" s="33" t="n">
        <v>53.7</v>
      </c>
      <c r="F439" s="34" t="n">
        <f aca="false">E439*0.7</f>
        <v>37.59</v>
      </c>
      <c r="G439" s="33" t="n">
        <v>0.41</v>
      </c>
      <c r="H439" s="33" t="n">
        <v>8.1</v>
      </c>
      <c r="I439" s="23" t="n">
        <v>21.4</v>
      </c>
      <c r="J439" s="53"/>
      <c r="K439" s="53"/>
      <c r="L439" s="33" t="n">
        <v>0.12</v>
      </c>
      <c r="M439" s="33" t="n">
        <v>8.1</v>
      </c>
      <c r="N439" s="23" t="n">
        <v>21.4</v>
      </c>
      <c r="O439" s="53"/>
      <c r="P439" s="53"/>
      <c r="Q439" s="33" t="n">
        <v>0.11</v>
      </c>
      <c r="R439" s="33" t="n">
        <v>8.08</v>
      </c>
      <c r="S439" s="23" t="n">
        <v>21.3</v>
      </c>
      <c r="T439" s="53"/>
      <c r="U439" s="53"/>
      <c r="V439" s="34" t="n">
        <v>0</v>
      </c>
      <c r="W439" s="33" t="n">
        <v>8.07</v>
      </c>
      <c r="X439" s="23" t="n">
        <v>21.3</v>
      </c>
      <c r="Y439" s="53"/>
      <c r="Z439" s="53"/>
      <c r="AA439" s="34" t="n">
        <v>0</v>
      </c>
      <c r="AB439" s="33" t="n">
        <v>8.06</v>
      </c>
      <c r="AC439" s="23" t="n">
        <v>21.5</v>
      </c>
      <c r="AD439" s="33" t="n">
        <v>53.6</v>
      </c>
      <c r="AE439" s="34" t="n">
        <f aca="false">AD439*0.7</f>
        <v>37.52</v>
      </c>
      <c r="AF439" s="33"/>
      <c r="AG439" s="34" t="n">
        <v>0</v>
      </c>
      <c r="AH439" s="33"/>
      <c r="AI439" s="33" t="n">
        <v>8.06</v>
      </c>
      <c r="AJ439" s="23" t="n">
        <v>21.5</v>
      </c>
      <c r="AK439" s="33" t="n">
        <v>53.6</v>
      </c>
      <c r="AL439" s="34" t="n">
        <f aca="false">AK439*0.7</f>
        <v>37.52</v>
      </c>
      <c r="AM439" s="33"/>
      <c r="AN439" s="34" t="n">
        <v>0</v>
      </c>
      <c r="AO439" s="2" t="n">
        <v>6.38</v>
      </c>
      <c r="AP439" s="23" t="n">
        <v>21.9</v>
      </c>
      <c r="AQ439" s="33" t="n">
        <v>264</v>
      </c>
      <c r="AR439" s="34" t="n">
        <f aca="false">AQ439*0.55</f>
        <v>145.2</v>
      </c>
      <c r="AS439" s="34" t="n">
        <v>0</v>
      </c>
      <c r="AT439" s="33" t="n">
        <v>8.29</v>
      </c>
      <c r="AU439" s="23" t="n">
        <v>21.7</v>
      </c>
      <c r="AV439" s="33" t="n">
        <v>421.5</v>
      </c>
      <c r="AW439" s="33" t="n">
        <f aca="false">AV439*0.55</f>
        <v>231.825</v>
      </c>
      <c r="AX439" s="33"/>
      <c r="AY439" s="34" t="n">
        <v>0</v>
      </c>
    </row>
    <row r="440" customFormat="false" ht="15" hidden="false" customHeight="false" outlineLevel="0" collapsed="false">
      <c r="A440" s="16" t="s">
        <v>130</v>
      </c>
      <c r="B440" s="2" t="s">
        <v>57</v>
      </c>
      <c r="C440" s="32" t="n">
        <v>8.14</v>
      </c>
      <c r="D440" s="23" t="n">
        <v>22.3</v>
      </c>
      <c r="E440" s="33" t="n">
        <v>53.9</v>
      </c>
      <c r="F440" s="34" t="n">
        <f aca="false">0.7*E440</f>
        <v>37.73</v>
      </c>
      <c r="G440" s="34" t="n">
        <v>0.35</v>
      </c>
      <c r="H440" s="33" t="n">
        <v>8.13</v>
      </c>
      <c r="I440" s="23" t="n">
        <v>22.2</v>
      </c>
      <c r="J440" s="49"/>
      <c r="K440" s="49"/>
      <c r="L440" s="33" t="n">
        <v>0.19</v>
      </c>
      <c r="M440" s="33" t="n">
        <v>8.13</v>
      </c>
      <c r="N440" s="23" t="n">
        <v>22.2</v>
      </c>
      <c r="O440" s="49"/>
      <c r="P440" s="49"/>
      <c r="Q440" s="33" t="n">
        <v>0.17</v>
      </c>
      <c r="R440" s="34" t="n">
        <v>8.1</v>
      </c>
      <c r="S440" s="19" t="n">
        <v>21.9</v>
      </c>
      <c r="T440" s="49"/>
      <c r="U440" s="49"/>
      <c r="V440" s="34" t="n">
        <v>0</v>
      </c>
      <c r="W440" s="33" t="n">
        <v>8.1</v>
      </c>
      <c r="X440" s="19" t="n">
        <v>21.9</v>
      </c>
      <c r="Y440" s="49"/>
      <c r="Z440" s="49"/>
      <c r="AA440" s="34" t="n">
        <v>0</v>
      </c>
      <c r="AB440" s="33" t="n">
        <v>8.03</v>
      </c>
      <c r="AC440" s="23" t="n">
        <v>21.4</v>
      </c>
      <c r="AD440" s="33" t="n">
        <v>53.7</v>
      </c>
      <c r="AE440" s="34" t="n">
        <f aca="false">0.7*AD440</f>
        <v>37.59</v>
      </c>
      <c r="AF440" s="33"/>
      <c r="AG440" s="34" t="n">
        <v>0</v>
      </c>
      <c r="AH440" s="45"/>
      <c r="AI440" s="33" t="n">
        <v>8.03</v>
      </c>
      <c r="AJ440" s="23" t="n">
        <v>21.4</v>
      </c>
      <c r="AK440" s="33" t="n">
        <v>53.7</v>
      </c>
      <c r="AL440" s="34" t="n">
        <f aca="false">AK441*0.55</f>
        <v>29.7</v>
      </c>
      <c r="AM440" s="33"/>
      <c r="AN440" s="34" t="n">
        <v>0</v>
      </c>
      <c r="AO440" s="2" t="n">
        <v>6.45</v>
      </c>
      <c r="AP440" s="23" t="n">
        <v>21.4</v>
      </c>
      <c r="AQ440" s="33" t="n">
        <v>331</v>
      </c>
      <c r="AR440" s="33" t="n">
        <f aca="false">AQ441*0.55</f>
        <v>166.1</v>
      </c>
      <c r="AS440" s="34" t="n">
        <v>0</v>
      </c>
      <c r="AT440" s="33" t="n">
        <v>8.23</v>
      </c>
      <c r="AU440" s="23" t="n">
        <v>21.8</v>
      </c>
      <c r="AV440" s="33" t="n">
        <v>413.2</v>
      </c>
      <c r="AW440" s="54"/>
      <c r="AX440" s="34" t="n">
        <v>1</v>
      </c>
      <c r="AY440" s="34" t="n">
        <v>0</v>
      </c>
    </row>
    <row r="441" customFormat="false" ht="15" hidden="false" customHeight="false" outlineLevel="0" collapsed="false">
      <c r="A441" s="16" t="s">
        <v>131</v>
      </c>
      <c r="B441" s="2" t="s">
        <v>51</v>
      </c>
      <c r="C441" s="32" t="n">
        <v>8.14</v>
      </c>
      <c r="D441" s="23" t="n">
        <v>21.4</v>
      </c>
      <c r="E441" s="33" t="n">
        <v>54</v>
      </c>
      <c r="F441" s="34" t="n">
        <f aca="false">E441*0.7</f>
        <v>37.8</v>
      </c>
      <c r="G441" s="34" t="n">
        <v>0.3</v>
      </c>
      <c r="H441" s="33" t="n">
        <v>8.12</v>
      </c>
      <c r="I441" s="23" t="n">
        <v>21.3</v>
      </c>
      <c r="J441" s="49"/>
      <c r="K441" s="37"/>
      <c r="L441" s="33" t="n">
        <v>0.91</v>
      </c>
      <c r="M441" s="33" t="n">
        <v>8.12</v>
      </c>
      <c r="N441" s="23" t="n">
        <v>21.3</v>
      </c>
      <c r="O441" s="49"/>
      <c r="P441" s="37"/>
      <c r="Q441" s="33" t="n">
        <v>0.88</v>
      </c>
      <c r="R441" s="33" t="n">
        <v>8.09</v>
      </c>
      <c r="S441" s="23" t="n">
        <v>21.1</v>
      </c>
      <c r="T441" s="49"/>
      <c r="U441" s="37"/>
      <c r="V441" s="34" t="n">
        <v>0</v>
      </c>
      <c r="W441" s="33" t="n">
        <v>8.1</v>
      </c>
      <c r="X441" s="23" t="n">
        <v>21</v>
      </c>
      <c r="Y441" s="49"/>
      <c r="Z441" s="37"/>
      <c r="AA441" s="34" t="n">
        <v>0</v>
      </c>
      <c r="AB441" s="33" t="n">
        <v>8.08</v>
      </c>
      <c r="AC441" s="23" t="n">
        <v>21</v>
      </c>
      <c r="AD441" s="33" t="n">
        <v>54</v>
      </c>
      <c r="AE441" s="34" t="n">
        <f aca="false">AD441*0.7</f>
        <v>37.8</v>
      </c>
      <c r="AF441" s="33"/>
      <c r="AG441" s="34" t="n">
        <v>0</v>
      </c>
      <c r="AH441" s="33"/>
      <c r="AI441" s="33" t="n">
        <v>8.08</v>
      </c>
      <c r="AJ441" s="23" t="n">
        <v>20.9</v>
      </c>
      <c r="AK441" s="33" t="n">
        <v>54</v>
      </c>
      <c r="AL441" s="34" t="n">
        <f aca="false">AK441*0.7</f>
        <v>37.8</v>
      </c>
      <c r="AM441" s="33"/>
      <c r="AN441" s="34" t="n">
        <v>0</v>
      </c>
      <c r="AO441" s="2" t="n">
        <v>6.35</v>
      </c>
      <c r="AP441" s="23" t="n">
        <v>20.8</v>
      </c>
      <c r="AQ441" s="33" t="n">
        <v>302</v>
      </c>
      <c r="AR441" s="34" t="n">
        <f aca="false">AQ441*0.55</f>
        <v>166.1</v>
      </c>
      <c r="AS441" s="34" t="n">
        <v>0</v>
      </c>
      <c r="AT441" s="33" t="n">
        <v>8.29</v>
      </c>
      <c r="AU441" s="23" t="n">
        <v>21.2</v>
      </c>
      <c r="AV441" s="33" t="n">
        <v>411</v>
      </c>
      <c r="AW441" s="34" t="n">
        <f aca="false">AV441*0.55</f>
        <v>226.05</v>
      </c>
      <c r="AX441" s="34" t="n">
        <v>1.1</v>
      </c>
      <c r="AY441" s="34" t="n">
        <v>0</v>
      </c>
    </row>
    <row r="442" customFormat="false" ht="15" hidden="false" customHeight="false" outlineLevel="0" collapsed="false">
      <c r="A442" s="16" t="s">
        <v>131</v>
      </c>
      <c r="B442" s="2" t="s">
        <v>52</v>
      </c>
      <c r="C442" s="32" t="n">
        <v>8.11</v>
      </c>
      <c r="D442" s="23" t="n">
        <v>21.7</v>
      </c>
      <c r="E442" s="33" t="n">
        <v>53.9</v>
      </c>
      <c r="F442" s="34" t="n">
        <f aca="false">E442*0.7</f>
        <v>37.73</v>
      </c>
      <c r="G442" s="33" t="n">
        <v>0.07</v>
      </c>
      <c r="H442" s="33" t="n">
        <v>8.1</v>
      </c>
      <c r="I442" s="23" t="n">
        <v>19.4</v>
      </c>
      <c r="J442" s="53"/>
      <c r="K442" s="53"/>
      <c r="L442" s="33" t="n">
        <v>0.72</v>
      </c>
      <c r="M442" s="33" t="n">
        <v>8.1</v>
      </c>
      <c r="N442" s="23" t="n">
        <v>19.1</v>
      </c>
      <c r="O442" s="53"/>
      <c r="P442" s="53"/>
      <c r="Q442" s="33" t="n">
        <v>0.43</v>
      </c>
      <c r="R442" s="33" t="n">
        <v>8.08</v>
      </c>
      <c r="S442" s="23" t="n">
        <v>19.1</v>
      </c>
      <c r="T442" s="53"/>
      <c r="U442" s="53"/>
      <c r="V442" s="34" t="n">
        <v>0</v>
      </c>
      <c r="W442" s="33" t="n">
        <v>8.08</v>
      </c>
      <c r="X442" s="23" t="n">
        <v>19.1</v>
      </c>
      <c r="Y442" s="53"/>
      <c r="Z442" s="53"/>
      <c r="AA442" s="34" t="n">
        <v>0</v>
      </c>
      <c r="AB442" s="33" t="n">
        <v>8.04</v>
      </c>
      <c r="AC442" s="23" t="n">
        <v>19.1</v>
      </c>
      <c r="AD442" s="33" t="n">
        <v>53.8</v>
      </c>
      <c r="AE442" s="34" t="n">
        <f aca="false">AD442*0.7</f>
        <v>37.66</v>
      </c>
      <c r="AF442" s="33"/>
      <c r="AG442" s="34" t="n">
        <v>0</v>
      </c>
      <c r="AH442" s="33"/>
      <c r="AI442" s="33" t="n">
        <v>8.05</v>
      </c>
      <c r="AJ442" s="23" t="n">
        <v>19.1</v>
      </c>
      <c r="AK442" s="33" t="n">
        <v>53.8</v>
      </c>
      <c r="AL442" s="34" t="n">
        <f aca="false">AK442*0.7</f>
        <v>37.66</v>
      </c>
      <c r="AM442" s="33"/>
      <c r="AN442" s="34" t="n">
        <v>0</v>
      </c>
      <c r="AO442" s="2" t="n">
        <v>6.31</v>
      </c>
      <c r="AP442" s="23" t="n">
        <v>19.8</v>
      </c>
      <c r="AQ442" s="33" t="n">
        <v>251</v>
      </c>
      <c r="AR442" s="34" t="n">
        <f aca="false">AQ442*0.55</f>
        <v>138.05</v>
      </c>
      <c r="AS442" s="34" t="n">
        <v>0</v>
      </c>
      <c r="AT442" s="33" t="n">
        <v>8.4</v>
      </c>
      <c r="AU442" s="23" t="n">
        <v>21.2</v>
      </c>
      <c r="AV442" s="33" t="n">
        <v>404.9</v>
      </c>
      <c r="AW442" s="33" t="n">
        <f aca="false">AV442*0.55</f>
        <v>222.695</v>
      </c>
      <c r="AX442" s="33" t="n">
        <v>1</v>
      </c>
      <c r="AY442" s="33" t="n">
        <v>0</v>
      </c>
    </row>
    <row r="443" customFormat="false" ht="15" hidden="false" customHeight="false" outlineLevel="0" collapsed="false">
      <c r="A443" s="16" t="s">
        <v>131</v>
      </c>
      <c r="B443" s="2" t="s">
        <v>57</v>
      </c>
      <c r="C443" s="32" t="n">
        <v>8.12</v>
      </c>
      <c r="D443" s="23" t="n">
        <v>22</v>
      </c>
      <c r="E443" s="33" t="n">
        <v>53.8</v>
      </c>
      <c r="F443" s="34" t="n">
        <f aca="false">0.7*E443</f>
        <v>37.66</v>
      </c>
      <c r="G443" s="34" t="n">
        <v>0.11</v>
      </c>
      <c r="H443" s="33" t="n">
        <v>8.12</v>
      </c>
      <c r="I443" s="23" t="n">
        <v>22.6</v>
      </c>
      <c r="J443" s="49"/>
      <c r="K443" s="49"/>
      <c r="L443" s="33" t="n">
        <v>0.86</v>
      </c>
      <c r="M443" s="33" t="n">
        <v>8.12</v>
      </c>
      <c r="N443" s="23" t="n">
        <v>22.6</v>
      </c>
      <c r="O443" s="49"/>
      <c r="P443" s="49"/>
      <c r="Q443" s="33" t="n">
        <v>0.75</v>
      </c>
      <c r="R443" s="34" t="n">
        <v>8.1</v>
      </c>
      <c r="S443" s="19" t="n">
        <v>22.3</v>
      </c>
      <c r="T443" s="49"/>
      <c r="U443" s="49"/>
      <c r="V443" s="34" t="n">
        <v>0</v>
      </c>
      <c r="W443" s="33" t="n">
        <v>8.1</v>
      </c>
      <c r="X443" s="19" t="n">
        <v>22.3</v>
      </c>
      <c r="Y443" s="49"/>
      <c r="Z443" s="49"/>
      <c r="AA443" s="34" t="n">
        <v>0</v>
      </c>
      <c r="AB443" s="33" t="n">
        <v>8.03</v>
      </c>
      <c r="AC443" s="23" t="n">
        <v>20</v>
      </c>
      <c r="AD443" s="33" t="n">
        <v>53.4</v>
      </c>
      <c r="AE443" s="34" t="n">
        <f aca="false">0.7*AD443</f>
        <v>37.38</v>
      </c>
      <c r="AF443" s="33"/>
      <c r="AG443" s="34" t="n">
        <v>0</v>
      </c>
      <c r="AH443" s="45"/>
      <c r="AI443" s="33" t="n">
        <v>8.04</v>
      </c>
      <c r="AJ443" s="23" t="n">
        <v>20</v>
      </c>
      <c r="AK443" s="33" t="n">
        <v>53.4</v>
      </c>
      <c r="AL443" s="34" t="n">
        <f aca="false">AK444*0.55</f>
        <v>29.755</v>
      </c>
      <c r="AM443" s="33"/>
      <c r="AN443" s="34" t="n">
        <v>0</v>
      </c>
      <c r="AO443" s="2" t="n">
        <v>6.45</v>
      </c>
      <c r="AP443" s="23" t="n">
        <v>20.5</v>
      </c>
      <c r="AQ443" s="33" t="n">
        <v>249</v>
      </c>
      <c r="AR443" s="34" t="n">
        <f aca="false">AQ444*0.55</f>
        <v>121.825</v>
      </c>
      <c r="AS443" s="34" t="n">
        <v>0</v>
      </c>
      <c r="AT443" s="33" t="n">
        <v>8.39</v>
      </c>
      <c r="AU443" s="23" t="n">
        <v>21</v>
      </c>
      <c r="AV443" s="33" t="n">
        <v>386.9</v>
      </c>
      <c r="AW443" s="54"/>
      <c r="AX443" s="34" t="n">
        <v>0.8</v>
      </c>
      <c r="AY443" s="34" t="n">
        <v>0</v>
      </c>
    </row>
    <row r="444" customFormat="false" ht="15" hidden="false" customHeight="false" outlineLevel="0" collapsed="false">
      <c r="A444" s="16" t="s">
        <v>132</v>
      </c>
      <c r="B444" s="2" t="s">
        <v>51</v>
      </c>
      <c r="C444" s="32" t="n">
        <v>8.14</v>
      </c>
      <c r="D444" s="23" t="n">
        <v>22.3</v>
      </c>
      <c r="E444" s="33" t="n">
        <v>54.2</v>
      </c>
      <c r="F444" s="34" t="n">
        <f aca="false">E444*0.7</f>
        <v>37.94</v>
      </c>
      <c r="G444" s="34" t="n">
        <v>0.65</v>
      </c>
      <c r="H444" s="33" t="n">
        <v>8.12</v>
      </c>
      <c r="I444" s="23" t="n">
        <v>22.1</v>
      </c>
      <c r="J444" s="49"/>
      <c r="K444" s="37"/>
      <c r="L444" s="33" t="n">
        <v>0.78</v>
      </c>
      <c r="M444" s="33" t="n">
        <v>8.11</v>
      </c>
      <c r="N444" s="23" t="n">
        <v>22.1</v>
      </c>
      <c r="O444" s="49"/>
      <c r="P444" s="37"/>
      <c r="Q444" s="33" t="n">
        <v>0.62</v>
      </c>
      <c r="R444" s="33" t="n">
        <v>8.1</v>
      </c>
      <c r="S444" s="23" t="n">
        <v>22</v>
      </c>
      <c r="T444" s="49"/>
      <c r="U444" s="37"/>
      <c r="V444" s="34" t="n">
        <v>0</v>
      </c>
      <c r="W444" s="33" t="n">
        <v>8.1</v>
      </c>
      <c r="X444" s="23" t="n">
        <v>21.4</v>
      </c>
      <c r="Y444" s="49"/>
      <c r="Z444" s="37"/>
      <c r="AA444" s="34" t="n">
        <v>0</v>
      </c>
      <c r="AB444" s="33" t="n">
        <v>8.05</v>
      </c>
      <c r="AC444" s="23" t="n">
        <v>21.8</v>
      </c>
      <c r="AD444" s="33" t="n">
        <v>54.1</v>
      </c>
      <c r="AE444" s="34" t="n">
        <f aca="false">AD444*0.7</f>
        <v>37.87</v>
      </c>
      <c r="AF444" s="33"/>
      <c r="AG444" s="34" t="n">
        <v>0</v>
      </c>
      <c r="AH444" s="33"/>
      <c r="AI444" s="33" t="n">
        <v>8.05</v>
      </c>
      <c r="AJ444" s="23" t="n">
        <v>21.8</v>
      </c>
      <c r="AK444" s="33" t="n">
        <v>54.1</v>
      </c>
      <c r="AL444" s="34" t="n">
        <f aca="false">AK444*0.7</f>
        <v>37.87</v>
      </c>
      <c r="AM444" s="33"/>
      <c r="AN444" s="34" t="n">
        <v>0</v>
      </c>
      <c r="AO444" s="2" t="n">
        <v>6.55</v>
      </c>
      <c r="AP444" s="23" t="n">
        <v>20.5</v>
      </c>
      <c r="AQ444" s="33" t="n">
        <v>221.5</v>
      </c>
      <c r="AR444" s="34" t="n">
        <f aca="false">AQ444*0.55</f>
        <v>121.825</v>
      </c>
      <c r="AS444" s="34" t="n">
        <v>0</v>
      </c>
      <c r="AT444" s="33" t="n">
        <v>8.38</v>
      </c>
      <c r="AU444" s="23" t="n">
        <v>21.9</v>
      </c>
      <c r="AV444" s="33" t="n">
        <v>396.7</v>
      </c>
      <c r="AW444" s="34" t="n">
        <f aca="false">AV444*0.55</f>
        <v>218.185</v>
      </c>
      <c r="AX444" s="34" t="n">
        <v>1.1</v>
      </c>
      <c r="AY444" s="34" t="n">
        <v>0</v>
      </c>
    </row>
    <row r="445" customFormat="false" ht="15" hidden="false" customHeight="false" outlineLevel="0" collapsed="false">
      <c r="A445" s="16" t="s">
        <v>132</v>
      </c>
      <c r="B445" s="2" t="s">
        <v>52</v>
      </c>
      <c r="C445" s="32" t="n">
        <v>8.1</v>
      </c>
      <c r="D445" s="23" t="n">
        <v>21.7</v>
      </c>
      <c r="E445" s="33" t="n">
        <v>53.7</v>
      </c>
      <c r="F445" s="34" t="n">
        <f aca="false">E445*0.7</f>
        <v>37.59</v>
      </c>
      <c r="G445" s="33" t="n">
        <v>0.48</v>
      </c>
      <c r="H445" s="33" t="n">
        <v>8.08</v>
      </c>
      <c r="I445" s="23" t="n">
        <v>19.4</v>
      </c>
      <c r="J445" s="53"/>
      <c r="K445" s="53"/>
      <c r="L445" s="33" t="n">
        <v>0.23</v>
      </c>
      <c r="M445" s="33" t="n">
        <v>8.08</v>
      </c>
      <c r="N445" s="23" t="n">
        <v>19.4</v>
      </c>
      <c r="O445" s="53"/>
      <c r="P445" s="53"/>
      <c r="Q445" s="33" t="n">
        <v>0.2</v>
      </c>
      <c r="R445" s="33" t="n">
        <v>8.07</v>
      </c>
      <c r="S445" s="23" t="n">
        <v>19.4</v>
      </c>
      <c r="T445" s="53"/>
      <c r="U445" s="53"/>
      <c r="V445" s="34" t="n">
        <v>0</v>
      </c>
      <c r="W445" s="33" t="n">
        <v>8.07</v>
      </c>
      <c r="X445" s="23" t="n">
        <v>19.4</v>
      </c>
      <c r="Y445" s="53"/>
      <c r="Z445" s="53"/>
      <c r="AA445" s="34" t="n">
        <v>0</v>
      </c>
      <c r="AB445" s="33" t="n">
        <v>8.06</v>
      </c>
      <c r="AC445" s="23" t="n">
        <v>19.4</v>
      </c>
      <c r="AD445" s="33" t="n">
        <v>53.4</v>
      </c>
      <c r="AE445" s="34" t="n">
        <f aca="false">AD445*0.7</f>
        <v>37.38</v>
      </c>
      <c r="AF445" s="33"/>
      <c r="AG445" s="34" t="n">
        <v>0</v>
      </c>
      <c r="AH445" s="33"/>
      <c r="AI445" s="33" t="n">
        <v>8.06</v>
      </c>
      <c r="AJ445" s="23" t="n">
        <v>19.4</v>
      </c>
      <c r="AK445" s="33" t="n">
        <v>53.4</v>
      </c>
      <c r="AL445" s="34" t="n">
        <f aca="false">AK445*0.7</f>
        <v>37.38</v>
      </c>
      <c r="AM445" s="33"/>
      <c r="AN445" s="34" t="n">
        <v>0</v>
      </c>
      <c r="AO445" s="2" t="n">
        <v>6.53</v>
      </c>
      <c r="AP445" s="23" t="n">
        <v>19.9</v>
      </c>
      <c r="AQ445" s="33" t="n">
        <v>242</v>
      </c>
      <c r="AR445" s="34" t="n">
        <f aca="false">AQ445*0.55</f>
        <v>133.1</v>
      </c>
      <c r="AS445" s="34" t="n">
        <v>0</v>
      </c>
      <c r="AT445" s="33" t="n">
        <v>8.45</v>
      </c>
      <c r="AU445" s="23" t="n">
        <v>21.8</v>
      </c>
      <c r="AV445" s="33" t="n">
        <v>384.1</v>
      </c>
      <c r="AW445" s="33" t="n">
        <f aca="false">AV445*0.55</f>
        <v>211.255</v>
      </c>
      <c r="AX445" s="33"/>
      <c r="AY445" s="34" t="n">
        <v>0</v>
      </c>
    </row>
    <row r="446" customFormat="false" ht="15" hidden="false" customHeight="false" outlineLevel="0" collapsed="false">
      <c r="A446" s="16" t="s">
        <v>132</v>
      </c>
      <c r="B446" s="2" t="s">
        <v>57</v>
      </c>
      <c r="C446" s="32" t="n">
        <v>8.11</v>
      </c>
      <c r="D446" s="23" t="n">
        <v>22</v>
      </c>
      <c r="E446" s="33" t="n">
        <v>53.6</v>
      </c>
      <c r="F446" s="34" t="n">
        <f aca="false">0.7*E446</f>
        <v>37.52</v>
      </c>
      <c r="G446" s="34" t="n">
        <v>0.03</v>
      </c>
      <c r="H446" s="33" t="n">
        <v>8.08</v>
      </c>
      <c r="I446" s="23" t="n">
        <v>21</v>
      </c>
      <c r="J446" s="49"/>
      <c r="K446" s="49"/>
      <c r="L446" s="33" t="n">
        <v>0.46</v>
      </c>
      <c r="M446" s="33" t="n">
        <v>8.07</v>
      </c>
      <c r="N446" s="23" t="n">
        <v>21</v>
      </c>
      <c r="O446" s="49"/>
      <c r="P446" s="49"/>
      <c r="Q446" s="33" t="n">
        <v>0.39</v>
      </c>
      <c r="R446" s="34" t="n">
        <v>8.05</v>
      </c>
      <c r="S446" s="19" t="n">
        <v>21.2</v>
      </c>
      <c r="T446" s="49"/>
      <c r="U446" s="49"/>
      <c r="V446" s="34" t="n">
        <v>0</v>
      </c>
      <c r="W446" s="33" t="n">
        <v>8.05</v>
      </c>
      <c r="X446" s="19" t="n">
        <v>21.3</v>
      </c>
      <c r="Y446" s="49"/>
      <c r="Z446" s="49"/>
      <c r="AA446" s="34" t="n">
        <v>0</v>
      </c>
      <c r="AB446" s="33" t="n">
        <v>8.03</v>
      </c>
      <c r="AC446" s="23" t="n">
        <v>19.6</v>
      </c>
      <c r="AD446" s="33" t="n">
        <v>53.6</v>
      </c>
      <c r="AE446" s="34" t="n">
        <f aca="false">0.7*AD446</f>
        <v>37.52</v>
      </c>
      <c r="AF446" s="33"/>
      <c r="AG446" s="34" t="n">
        <v>0</v>
      </c>
      <c r="AH446" s="45"/>
      <c r="AI446" s="33" t="n">
        <v>8.03</v>
      </c>
      <c r="AJ446" s="23" t="n">
        <v>19.6</v>
      </c>
      <c r="AK446" s="33" t="n">
        <v>53.6</v>
      </c>
      <c r="AL446" s="34" t="e">
        <f aca="false">#REF!*0.55</f>
        <v>#REF!</v>
      </c>
      <c r="AM446" s="33"/>
      <c r="AN446" s="34" t="n">
        <v>0</v>
      </c>
      <c r="AO446" s="2" t="n">
        <v>6.28</v>
      </c>
      <c r="AP446" s="23" t="n">
        <v>21.1</v>
      </c>
      <c r="AQ446" s="33" t="n">
        <v>215</v>
      </c>
      <c r="AR446" s="34" t="e">
        <f aca="false">#REF!*0.55</f>
        <v>#REF!</v>
      </c>
      <c r="AS446" s="34" t="n">
        <v>0</v>
      </c>
      <c r="AT446" s="33" t="n">
        <v>8.45</v>
      </c>
      <c r="AU446" s="23" t="n">
        <v>20.6</v>
      </c>
      <c r="AV446" s="33" t="n">
        <v>389.7</v>
      </c>
      <c r="AW446" s="54"/>
      <c r="AX446" s="34" t="n">
        <v>0.8</v>
      </c>
      <c r="AY446" s="34" t="n">
        <v>0</v>
      </c>
    </row>
    <row r="447" customFormat="false" ht="16.15" hidden="false" customHeight="false" outlineLevel="0" collapsed="false">
      <c r="A447" s="16" t="n">
        <v>45297</v>
      </c>
      <c r="B447" s="2" t="s">
        <v>51</v>
      </c>
      <c r="C447" s="57" t="n">
        <v>8.13</v>
      </c>
      <c r="D447" s="58" t="n">
        <v>20.4</v>
      </c>
      <c r="E447" s="58" t="n">
        <v>53.9</v>
      </c>
      <c r="F447" s="58" t="n">
        <f aca="false">E447*0.7</f>
        <v>37.73</v>
      </c>
      <c r="G447" s="58" t="n">
        <v>0.7</v>
      </c>
      <c r="H447" s="58" t="n">
        <v>8.12</v>
      </c>
      <c r="I447" s="58" t="n">
        <v>20.3</v>
      </c>
      <c r="J447" s="59"/>
      <c r="K447" s="59"/>
      <c r="L447" s="58" t="n">
        <v>0.92</v>
      </c>
      <c r="M447" s="58" t="n">
        <v>8.12</v>
      </c>
      <c r="N447" s="58" t="n">
        <v>20.3</v>
      </c>
      <c r="O447" s="59"/>
      <c r="P447" s="59"/>
      <c r="Q447" s="58" t="n">
        <v>1.19</v>
      </c>
      <c r="R447" s="58" t="n">
        <v>8.09</v>
      </c>
      <c r="S447" s="58" t="n">
        <v>20.1</v>
      </c>
      <c r="T447" s="59"/>
      <c r="U447" s="59"/>
      <c r="V447" s="58" t="n">
        <v>0</v>
      </c>
      <c r="W447" s="58" t="n">
        <v>8.09</v>
      </c>
      <c r="X447" s="58" t="n">
        <v>19.9</v>
      </c>
      <c r="Y447" s="59"/>
      <c r="Z447" s="59"/>
      <c r="AA447" s="58" t="n">
        <v>0</v>
      </c>
      <c r="AB447" s="58" t="n">
        <v>8.05</v>
      </c>
      <c r="AC447" s="58" t="n">
        <v>19.8</v>
      </c>
      <c r="AD447" s="58" t="n">
        <v>53.8</v>
      </c>
      <c r="AE447" s="58" t="n">
        <f aca="false">AD447*0.7</f>
        <v>37.66</v>
      </c>
      <c r="AF447" s="58"/>
      <c r="AG447" s="58" t="n">
        <v>0</v>
      </c>
      <c r="AH447" s="58"/>
      <c r="AI447" s="58" t="n">
        <v>8.05</v>
      </c>
      <c r="AJ447" s="58" t="n">
        <v>19.8</v>
      </c>
      <c r="AK447" s="58" t="n">
        <v>53.8</v>
      </c>
      <c r="AL447" s="58" t="n">
        <f aca="false">AK447*0.7</f>
        <v>37.66</v>
      </c>
      <c r="AM447" s="58"/>
      <c r="AN447" s="58" t="n">
        <v>0</v>
      </c>
      <c r="AO447" s="58" t="n">
        <v>6.33</v>
      </c>
      <c r="AP447" s="58" t="n">
        <v>18.9</v>
      </c>
      <c r="AQ447" s="58" t="n">
        <v>229</v>
      </c>
      <c r="AR447" s="58" t="n">
        <f aca="false">0.55*AQ447</f>
        <v>125.95</v>
      </c>
      <c r="AS447" s="58" t="n">
        <v>0</v>
      </c>
      <c r="AT447" s="58" t="n">
        <v>8.26</v>
      </c>
      <c r="AU447" s="58" t="n">
        <v>20.1</v>
      </c>
      <c r="AV447" s="58" t="n">
        <v>212.4</v>
      </c>
      <c r="AW447" s="58" t="n">
        <f aca="false">0.55*AV447</f>
        <v>116.82</v>
      </c>
      <c r="AX447" s="58" t="n">
        <v>0.8</v>
      </c>
      <c r="AY447" s="58" t="n">
        <v>0</v>
      </c>
    </row>
    <row r="448" customFormat="false" ht="15" hidden="false" customHeight="false" outlineLevel="0" collapsed="false">
      <c r="A448" s="16" t="n">
        <v>45297</v>
      </c>
      <c r="B448" s="2" t="s">
        <v>52</v>
      </c>
      <c r="C448" s="29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</row>
    <row r="449" customFormat="false" ht="15" hidden="false" customHeight="false" outlineLevel="0" collapsed="false">
      <c r="A449" s="16" t="n">
        <v>45297</v>
      </c>
      <c r="B449" s="2" t="s">
        <v>57</v>
      </c>
      <c r="C449" s="29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</row>
    <row r="450" customFormat="false" ht="16.15" hidden="false" customHeight="false" outlineLevel="0" collapsed="false">
      <c r="A450" s="16" t="n">
        <v>45328</v>
      </c>
      <c r="B450" s="2" t="s">
        <v>51</v>
      </c>
      <c r="C450" s="57" t="n">
        <v>8.01</v>
      </c>
      <c r="D450" s="58" t="n">
        <v>20.7</v>
      </c>
      <c r="E450" s="58" t="n">
        <v>54</v>
      </c>
      <c r="F450" s="58" t="n">
        <f aca="false">E450*0.7</f>
        <v>37.8</v>
      </c>
      <c r="G450" s="58" t="n">
        <v>0.5</v>
      </c>
      <c r="H450" s="58" t="n">
        <v>8</v>
      </c>
      <c r="I450" s="58" t="n">
        <v>18.7</v>
      </c>
      <c r="J450" s="59"/>
      <c r="K450" s="59"/>
      <c r="L450" s="58" t="n">
        <v>0.62</v>
      </c>
      <c r="M450" s="58" t="n">
        <v>8</v>
      </c>
      <c r="N450" s="58" t="n">
        <v>18.7</v>
      </c>
      <c r="O450" s="59"/>
      <c r="P450" s="59"/>
      <c r="Q450" s="58" t="n">
        <v>0.48</v>
      </c>
      <c r="R450" s="58" t="n">
        <v>7.99</v>
      </c>
      <c r="S450" s="58" t="n">
        <v>18.8</v>
      </c>
      <c r="T450" s="59"/>
      <c r="U450" s="59"/>
      <c r="V450" s="58" t="n">
        <v>0</v>
      </c>
      <c r="W450" s="58" t="n">
        <v>7.99</v>
      </c>
      <c r="X450" s="58" t="n">
        <v>18.8</v>
      </c>
      <c r="Y450" s="59"/>
      <c r="Z450" s="59"/>
      <c r="AA450" s="58" t="n">
        <v>0</v>
      </c>
      <c r="AB450" s="58" t="n">
        <v>7.97</v>
      </c>
      <c r="AC450" s="58" t="n">
        <v>19</v>
      </c>
      <c r="AD450" s="58" t="n">
        <v>53.9</v>
      </c>
      <c r="AE450" s="58" t="n">
        <f aca="false">AD450*0.7</f>
        <v>37.73</v>
      </c>
      <c r="AF450" s="58"/>
      <c r="AG450" s="58" t="n">
        <v>0</v>
      </c>
      <c r="AH450" s="58"/>
      <c r="AI450" s="58" t="n">
        <v>7.97</v>
      </c>
      <c r="AJ450" s="58" t="n">
        <v>19.1</v>
      </c>
      <c r="AK450" s="58" t="n">
        <v>53.9</v>
      </c>
      <c r="AL450" s="58" t="n">
        <f aca="false">AK450*0.7</f>
        <v>37.73</v>
      </c>
      <c r="AM450" s="58"/>
      <c r="AN450" s="58" t="n">
        <v>0</v>
      </c>
      <c r="AO450" s="58" t="n">
        <v>6.39</v>
      </c>
      <c r="AP450" s="58" t="n">
        <v>19.3</v>
      </c>
      <c r="AQ450" s="58" t="n">
        <v>300</v>
      </c>
      <c r="AR450" s="58" t="n">
        <f aca="false">0.55*AQ450</f>
        <v>165</v>
      </c>
      <c r="AS450" s="58" t="n">
        <v>0</v>
      </c>
      <c r="AT450" s="58" t="n">
        <v>8.28</v>
      </c>
      <c r="AU450" s="58" t="n">
        <v>19.6</v>
      </c>
      <c r="AV450" s="58" t="n">
        <v>346.6</v>
      </c>
      <c r="AW450" s="58" t="n">
        <f aca="false">0.55*AV450</f>
        <v>190.63</v>
      </c>
      <c r="AX450" s="58" t="n">
        <v>0.8</v>
      </c>
      <c r="AY450" s="58" t="n">
        <v>0</v>
      </c>
    </row>
    <row r="451" customFormat="false" ht="15" hidden="false" customHeight="false" outlineLevel="0" collapsed="false">
      <c r="A451" s="16" t="n">
        <v>45328</v>
      </c>
      <c r="B451" s="2" t="s">
        <v>52</v>
      </c>
      <c r="C451" s="29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</row>
    <row r="452" customFormat="false" ht="15" hidden="false" customHeight="false" outlineLevel="0" collapsed="false">
      <c r="A452" s="16" t="n">
        <v>45328</v>
      </c>
      <c r="B452" s="2" t="s">
        <v>57</v>
      </c>
      <c r="C452" s="29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</row>
    <row r="453" customFormat="false" ht="16.15" hidden="false" customHeight="false" outlineLevel="0" collapsed="false">
      <c r="A453" s="16" t="n">
        <v>45357</v>
      </c>
      <c r="B453" s="2" t="s">
        <v>51</v>
      </c>
      <c r="C453" s="57" t="n">
        <v>8.07</v>
      </c>
      <c r="D453" s="58" t="n">
        <v>20.3</v>
      </c>
      <c r="E453" s="58" t="n">
        <v>54</v>
      </c>
      <c r="F453" s="58" t="n">
        <f aca="false">E453*0.7</f>
        <v>37.8</v>
      </c>
      <c r="G453" s="58" t="n">
        <v>0.13</v>
      </c>
      <c r="H453" s="58" t="n">
        <v>8.06</v>
      </c>
      <c r="I453" s="58" t="n">
        <v>20.2</v>
      </c>
      <c r="J453" s="59"/>
      <c r="K453" s="59"/>
      <c r="L453" s="58" t="n">
        <v>0.26</v>
      </c>
      <c r="M453" s="58" t="n">
        <v>8.06</v>
      </c>
      <c r="N453" s="58" t="n">
        <v>20.2</v>
      </c>
      <c r="O453" s="59"/>
      <c r="P453" s="59"/>
      <c r="Q453" s="58" t="n">
        <v>0.32</v>
      </c>
      <c r="R453" s="58" t="n">
        <v>7.96</v>
      </c>
      <c r="S453" s="58" t="n">
        <v>19.6</v>
      </c>
      <c r="T453" s="59"/>
      <c r="U453" s="59"/>
      <c r="V453" s="58" t="n">
        <v>0</v>
      </c>
      <c r="W453" s="58" t="n">
        <v>7.96</v>
      </c>
      <c r="X453" s="58" t="n">
        <v>19.6</v>
      </c>
      <c r="Y453" s="59"/>
      <c r="Z453" s="59"/>
      <c r="AA453" s="58" t="n">
        <v>0</v>
      </c>
      <c r="AB453" s="58" t="n">
        <v>7.92</v>
      </c>
      <c r="AC453" s="58" t="n">
        <v>19.8</v>
      </c>
      <c r="AD453" s="58" t="n">
        <v>53.9</v>
      </c>
      <c r="AE453" s="58" t="n">
        <f aca="false">AD453*0.7</f>
        <v>37.73</v>
      </c>
      <c r="AF453" s="58"/>
      <c r="AG453" s="58" t="n">
        <v>0</v>
      </c>
      <c r="AH453" s="58"/>
      <c r="AI453" s="58" t="n">
        <v>7.92</v>
      </c>
      <c r="AJ453" s="58" t="n">
        <v>19.8</v>
      </c>
      <c r="AK453" s="58" t="n">
        <v>53.9</v>
      </c>
      <c r="AL453" s="58" t="n">
        <f aca="false">AK453*0.7</f>
        <v>37.73</v>
      </c>
      <c r="AM453" s="58"/>
      <c r="AN453" s="58" t="n">
        <v>0</v>
      </c>
      <c r="AO453" s="58" t="n">
        <v>6.36</v>
      </c>
      <c r="AP453" s="58" t="n">
        <v>20.1</v>
      </c>
      <c r="AQ453" s="58" t="n">
        <v>327</v>
      </c>
      <c r="AR453" s="58" t="n">
        <f aca="false">0.55*AQ453</f>
        <v>179.85</v>
      </c>
      <c r="AS453" s="58" t="n">
        <v>0</v>
      </c>
      <c r="AT453" s="58" t="n">
        <v>8.28</v>
      </c>
      <c r="AU453" s="58" t="n">
        <v>19.9</v>
      </c>
      <c r="AV453" s="58" t="n">
        <v>357.7</v>
      </c>
      <c r="AW453" s="58" t="n">
        <f aca="false">0.55*AV453</f>
        <v>196.735</v>
      </c>
      <c r="AX453" s="58"/>
      <c r="AY453" s="58" t="n">
        <v>0</v>
      </c>
    </row>
    <row r="454" customFormat="false" ht="15" hidden="false" customHeight="false" outlineLevel="0" collapsed="false">
      <c r="A454" s="16" t="n">
        <v>45357</v>
      </c>
      <c r="B454" s="2" t="s">
        <v>52</v>
      </c>
      <c r="C454" s="29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</row>
    <row r="455" customFormat="false" ht="15" hidden="false" customHeight="false" outlineLevel="0" collapsed="false">
      <c r="A455" s="16" t="n">
        <v>45357</v>
      </c>
      <c r="B455" s="2" t="s">
        <v>57</v>
      </c>
      <c r="C455" s="29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</row>
    <row r="456" customFormat="false" ht="16.15" hidden="false" customHeight="false" outlineLevel="0" collapsed="false">
      <c r="A456" s="16" t="n">
        <v>45388</v>
      </c>
      <c r="B456" s="2" t="s">
        <v>51</v>
      </c>
      <c r="C456" s="57" t="n">
        <v>8</v>
      </c>
      <c r="D456" s="58" t="n">
        <v>21.4</v>
      </c>
      <c r="E456" s="58"/>
      <c r="F456" s="58" t="n">
        <f aca="false">E456*0.7</f>
        <v>0</v>
      </c>
      <c r="G456" s="58" t="n">
        <v>0.35</v>
      </c>
      <c r="H456" s="58" t="n">
        <v>7.96</v>
      </c>
      <c r="I456" s="58" t="n">
        <v>20.4</v>
      </c>
      <c r="J456" s="59"/>
      <c r="K456" s="59"/>
      <c r="L456" s="58" t="n">
        <v>0.14</v>
      </c>
      <c r="M456" s="58" t="n">
        <v>7.96</v>
      </c>
      <c r="N456" s="58" t="n">
        <v>20.5</v>
      </c>
      <c r="O456" s="59"/>
      <c r="P456" s="59"/>
      <c r="Q456" s="58" t="n">
        <v>0.08</v>
      </c>
      <c r="R456" s="58" t="n">
        <v>7.94</v>
      </c>
      <c r="S456" s="58" t="n">
        <v>20.1</v>
      </c>
      <c r="T456" s="59"/>
      <c r="U456" s="59"/>
      <c r="V456" s="58" t="n">
        <v>0</v>
      </c>
      <c r="W456" s="58" t="n">
        <v>7.94</v>
      </c>
      <c r="X456" s="58" t="n">
        <v>20.1</v>
      </c>
      <c r="Y456" s="59"/>
      <c r="Z456" s="59"/>
      <c r="AA456" s="58" t="n">
        <v>0</v>
      </c>
      <c r="AB456" s="58" t="n">
        <v>7.92</v>
      </c>
      <c r="AC456" s="58" t="n">
        <v>20.9</v>
      </c>
      <c r="AD456" s="58" t="n">
        <v>53.9</v>
      </c>
      <c r="AE456" s="58" t="n">
        <f aca="false">AD456*0.7</f>
        <v>37.73</v>
      </c>
      <c r="AF456" s="58"/>
      <c r="AG456" s="58" t="n">
        <v>0</v>
      </c>
      <c r="AH456" s="58"/>
      <c r="AI456" s="58" t="n">
        <v>7.93</v>
      </c>
      <c r="AJ456" s="58" t="n">
        <v>20.9</v>
      </c>
      <c r="AK456" s="58" t="n">
        <v>54</v>
      </c>
      <c r="AL456" s="58" t="n">
        <f aca="false">AK456*0.7</f>
        <v>37.8</v>
      </c>
      <c r="AM456" s="58"/>
      <c r="AN456" s="58" t="n">
        <v>0</v>
      </c>
      <c r="AO456" s="58" t="n">
        <v>6.29</v>
      </c>
      <c r="AP456" s="58" t="n">
        <v>20.3</v>
      </c>
      <c r="AQ456" s="58" t="n">
        <v>256</v>
      </c>
      <c r="AR456" s="58" t="n">
        <f aca="false">0.55*AQ456</f>
        <v>140.8</v>
      </c>
      <c r="AS456" s="58" t="n">
        <v>0</v>
      </c>
      <c r="AT456" s="58" t="n">
        <v>8.24</v>
      </c>
      <c r="AU456" s="58" t="n">
        <v>20.1</v>
      </c>
      <c r="AV456" s="58" t="n">
        <v>398.9</v>
      </c>
      <c r="AW456" s="58" t="n">
        <f aca="false">0.55*AV456</f>
        <v>219.395</v>
      </c>
      <c r="AX456" s="58" t="n">
        <v>1</v>
      </c>
      <c r="AY456" s="58" t="n">
        <v>0</v>
      </c>
    </row>
    <row r="457" customFormat="false" ht="15" hidden="false" customHeight="false" outlineLevel="0" collapsed="false">
      <c r="A457" s="16" t="n">
        <v>45388</v>
      </c>
      <c r="B457" s="2" t="s">
        <v>52</v>
      </c>
      <c r="C457" s="29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</row>
    <row r="458" customFormat="false" ht="15" hidden="false" customHeight="false" outlineLevel="0" collapsed="false">
      <c r="A458" s="16" t="n">
        <v>45388</v>
      </c>
      <c r="B458" s="2" t="s">
        <v>57</v>
      </c>
      <c r="C458" s="29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</row>
    <row r="459" customFormat="false" ht="16.15" hidden="false" customHeight="false" outlineLevel="0" collapsed="false">
      <c r="A459" s="16" t="n">
        <v>45418</v>
      </c>
      <c r="B459" s="2" t="s">
        <v>51</v>
      </c>
      <c r="C459" s="57" t="n">
        <v>8.05</v>
      </c>
      <c r="D459" s="58" t="n">
        <v>21.9</v>
      </c>
      <c r="E459" s="58" t="n">
        <v>54.2</v>
      </c>
      <c r="F459" s="58" t="n">
        <f aca="false">E459*0.7</f>
        <v>37.94</v>
      </c>
      <c r="G459" s="58" t="n">
        <v>0.01</v>
      </c>
      <c r="H459" s="58" t="n">
        <v>8.03</v>
      </c>
      <c r="I459" s="58" t="n">
        <v>19.4</v>
      </c>
      <c r="J459" s="59"/>
      <c r="K459" s="59"/>
      <c r="L459" s="58" t="n">
        <v>0.12</v>
      </c>
      <c r="M459" s="58" t="n">
        <v>8.03</v>
      </c>
      <c r="N459" s="58" t="n">
        <v>19.3</v>
      </c>
      <c r="O459" s="59"/>
      <c r="P459" s="59"/>
      <c r="Q459" s="58" t="n">
        <v>0.12</v>
      </c>
      <c r="R459" s="58" t="n">
        <v>8.01</v>
      </c>
      <c r="S459" s="58" t="n">
        <v>19.4</v>
      </c>
      <c r="T459" s="59"/>
      <c r="U459" s="59"/>
      <c r="V459" s="58" t="n">
        <v>0</v>
      </c>
      <c r="W459" s="58" t="n">
        <v>8.01</v>
      </c>
      <c r="X459" s="58" t="n">
        <v>19.4</v>
      </c>
      <c r="Y459" s="59"/>
      <c r="Z459" s="59"/>
      <c r="AA459" s="58" t="n">
        <v>0</v>
      </c>
      <c r="AB459" s="58" t="n">
        <v>7.98</v>
      </c>
      <c r="AC459" s="58" t="n">
        <v>19.6</v>
      </c>
      <c r="AD459" s="58" t="n">
        <v>54.1</v>
      </c>
      <c r="AE459" s="58" t="n">
        <f aca="false">AD459*0.7</f>
        <v>37.87</v>
      </c>
      <c r="AF459" s="58"/>
      <c r="AG459" s="58" t="n">
        <v>0</v>
      </c>
      <c r="AH459" s="21"/>
      <c r="AI459" s="58" t="n">
        <v>7.98</v>
      </c>
      <c r="AJ459" s="58" t="n">
        <v>19.6</v>
      </c>
      <c r="AK459" s="58" t="n">
        <v>54.1</v>
      </c>
      <c r="AL459" s="58" t="n">
        <f aca="false">AK459*0.7</f>
        <v>37.87</v>
      </c>
      <c r="AM459" s="58"/>
      <c r="AN459" s="58" t="n">
        <v>0</v>
      </c>
      <c r="AO459" s="58" t="n">
        <v>6.3</v>
      </c>
      <c r="AP459" s="58" t="n">
        <v>20.1</v>
      </c>
      <c r="AQ459" s="58" t="n">
        <v>244</v>
      </c>
      <c r="AR459" s="58" t="n">
        <f aca="false">0.55*AQ459</f>
        <v>134.2</v>
      </c>
      <c r="AS459" s="58" t="n">
        <v>0</v>
      </c>
      <c r="AT459" s="58" t="n">
        <v>8.31</v>
      </c>
      <c r="AU459" s="58" t="n">
        <v>20.6</v>
      </c>
      <c r="AV459" s="58" t="n">
        <v>371.7</v>
      </c>
      <c r="AW459" s="58" t="n">
        <f aca="false">0.55*AV459</f>
        <v>204.435</v>
      </c>
      <c r="AX459" s="58" t="n">
        <v>1</v>
      </c>
      <c r="AY459" s="58" t="n">
        <v>0</v>
      </c>
    </row>
    <row r="460" customFormat="false" ht="15" hidden="false" customHeight="false" outlineLevel="0" collapsed="false">
      <c r="A460" s="16" t="n">
        <v>45418</v>
      </c>
      <c r="B460" s="2" t="s">
        <v>52</v>
      </c>
      <c r="C460" s="29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</row>
    <row r="461" customFormat="false" ht="15" hidden="false" customHeight="false" outlineLevel="0" collapsed="false">
      <c r="A461" s="16" t="n">
        <v>45418</v>
      </c>
      <c r="B461" s="2" t="s">
        <v>57</v>
      </c>
      <c r="C461" s="29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</row>
    <row r="462" customFormat="false" ht="16.15" hidden="false" customHeight="false" outlineLevel="0" collapsed="false">
      <c r="A462" s="16" t="n">
        <v>45449</v>
      </c>
      <c r="B462" s="2" t="s">
        <v>51</v>
      </c>
      <c r="C462" s="57" t="n">
        <v>8.04</v>
      </c>
      <c r="D462" s="58" t="n">
        <v>22.4</v>
      </c>
      <c r="E462" s="58" t="n">
        <v>54.2</v>
      </c>
      <c r="F462" s="58" t="n">
        <f aca="false">E462*0.7</f>
        <v>37.94</v>
      </c>
      <c r="G462" s="58" t="n">
        <v>0.3</v>
      </c>
      <c r="H462" s="58" t="n">
        <v>8.01</v>
      </c>
      <c r="I462" s="58" t="n">
        <v>20.5</v>
      </c>
      <c r="J462" s="59"/>
      <c r="K462" s="59"/>
      <c r="L462" s="58" t="n">
        <v>0.33</v>
      </c>
      <c r="M462" s="58" t="n">
        <v>8.01</v>
      </c>
      <c r="N462" s="58" t="n">
        <v>20.3</v>
      </c>
      <c r="O462" s="59"/>
      <c r="P462" s="59"/>
      <c r="Q462" s="58" t="n">
        <v>0.29</v>
      </c>
      <c r="R462" s="58" t="n">
        <v>7.98</v>
      </c>
      <c r="S462" s="58" t="n">
        <v>20.4</v>
      </c>
      <c r="T462" s="59"/>
      <c r="U462" s="59"/>
      <c r="V462" s="58" t="n">
        <v>0</v>
      </c>
      <c r="W462" s="58" t="n">
        <v>7.99</v>
      </c>
      <c r="X462" s="58" t="n">
        <v>20.3</v>
      </c>
      <c r="Y462" s="59"/>
      <c r="Z462" s="59"/>
      <c r="AA462" s="58" t="n">
        <v>0</v>
      </c>
      <c r="AB462" s="58" t="n">
        <v>7.95</v>
      </c>
      <c r="AC462" s="58" t="n">
        <v>20.5</v>
      </c>
      <c r="AD462" s="58" t="n">
        <v>54.2</v>
      </c>
      <c r="AE462" s="58" t="n">
        <v>37.94</v>
      </c>
      <c r="AF462" s="58"/>
      <c r="AG462" s="58" t="n">
        <v>0</v>
      </c>
      <c r="AH462" s="58"/>
      <c r="AI462" s="58" t="n">
        <v>7.95</v>
      </c>
      <c r="AJ462" s="58" t="n">
        <v>20.54</v>
      </c>
      <c r="AK462" s="58" t="n">
        <v>54.2</v>
      </c>
      <c r="AL462" s="58" t="n">
        <f aca="false">AK462*0.7</f>
        <v>37.94</v>
      </c>
      <c r="AM462" s="58"/>
      <c r="AN462" s="58" t="n">
        <v>0</v>
      </c>
      <c r="AO462" s="58" t="n">
        <v>6.24</v>
      </c>
      <c r="AP462" s="58" t="n">
        <v>21.1</v>
      </c>
      <c r="AQ462" s="58" t="n">
        <v>358</v>
      </c>
      <c r="AR462" s="58" t="n">
        <f aca="false">0.55*AQ462</f>
        <v>196.9</v>
      </c>
      <c r="AS462" s="58" t="n">
        <v>0</v>
      </c>
      <c r="AT462" s="58" t="n">
        <v>8.39</v>
      </c>
      <c r="AU462" s="58" t="n">
        <v>21</v>
      </c>
      <c r="AV462" s="58" t="n">
        <v>387.4</v>
      </c>
      <c r="AW462" s="58" t="n">
        <f aca="false">0.55*AV462</f>
        <v>213.07</v>
      </c>
      <c r="AX462" s="58" t="n">
        <v>1</v>
      </c>
      <c r="AY462" s="58" t="n">
        <v>0</v>
      </c>
    </row>
    <row r="463" customFormat="false" ht="15" hidden="false" customHeight="false" outlineLevel="0" collapsed="false">
      <c r="A463" s="16" t="n">
        <v>45449</v>
      </c>
      <c r="B463" s="2" t="s">
        <v>52</v>
      </c>
      <c r="C463" s="29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</row>
    <row r="464" customFormat="false" ht="15" hidden="false" customHeight="false" outlineLevel="0" collapsed="false">
      <c r="A464" s="16" t="n">
        <v>45449</v>
      </c>
      <c r="B464" s="2" t="s">
        <v>57</v>
      </c>
      <c r="C464" s="29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</row>
    <row r="465" customFormat="false" ht="16.15" hidden="false" customHeight="false" outlineLevel="0" collapsed="false">
      <c r="A465" s="16" t="n">
        <v>45510</v>
      </c>
      <c r="B465" s="2" t="s">
        <v>51</v>
      </c>
      <c r="C465" s="57" t="n">
        <v>8.1</v>
      </c>
      <c r="D465" s="58" t="n">
        <v>22.9</v>
      </c>
      <c r="E465" s="58" t="n">
        <v>54</v>
      </c>
      <c r="F465" s="58" t="n">
        <f aca="false">E465*0.7</f>
        <v>37.8</v>
      </c>
      <c r="G465" s="58" t="n">
        <v>0.66</v>
      </c>
      <c r="H465" s="58" t="n">
        <v>8.09</v>
      </c>
      <c r="I465" s="58" t="n">
        <v>22.7</v>
      </c>
      <c r="J465" s="59"/>
      <c r="K465" s="59"/>
      <c r="L465" s="58" t="n">
        <v>0.72</v>
      </c>
      <c r="M465" s="58" t="n">
        <v>8.07</v>
      </c>
      <c r="N465" s="58" t="n">
        <v>21.9</v>
      </c>
      <c r="O465" s="59"/>
      <c r="P465" s="59"/>
      <c r="Q465" s="58" t="n">
        <v>0.01</v>
      </c>
      <c r="R465" s="58" t="n">
        <v>8.06</v>
      </c>
      <c r="S465" s="58" t="n">
        <v>21.1</v>
      </c>
      <c r="T465" s="59"/>
      <c r="U465" s="59"/>
      <c r="V465" s="58" t="n">
        <v>0</v>
      </c>
      <c r="W465" s="58" t="n">
        <v>8.02</v>
      </c>
      <c r="X465" s="58" t="n">
        <v>21.6</v>
      </c>
      <c r="Y465" s="59"/>
      <c r="Z465" s="59"/>
      <c r="AA465" s="58" t="n">
        <v>0</v>
      </c>
      <c r="AB465" s="58" t="n">
        <v>8.02</v>
      </c>
      <c r="AC465" s="58" t="n">
        <v>21.3</v>
      </c>
      <c r="AD465" s="58" t="n">
        <v>53.8</v>
      </c>
      <c r="AE465" s="58" t="n">
        <f aca="false">AD465*0.7</f>
        <v>37.66</v>
      </c>
      <c r="AF465" s="58"/>
      <c r="AG465" s="58" t="n">
        <v>0</v>
      </c>
      <c r="AH465" s="58"/>
      <c r="AI465" s="58" t="n">
        <v>8.02</v>
      </c>
      <c r="AJ465" s="58" t="n">
        <v>21.3</v>
      </c>
      <c r="AK465" s="58" t="n">
        <v>35.8</v>
      </c>
      <c r="AL465" s="58" t="n">
        <f aca="false">AK465*0.7</f>
        <v>25.06</v>
      </c>
      <c r="AM465" s="58"/>
      <c r="AN465" s="58" t="n">
        <v>0</v>
      </c>
      <c r="AO465" s="58" t="n">
        <v>6.22</v>
      </c>
      <c r="AP465" s="58" t="n">
        <v>20.5</v>
      </c>
      <c r="AQ465" s="58" t="n">
        <v>302.4</v>
      </c>
      <c r="AR465" s="58" t="n">
        <f aca="false">0.55*AQ465</f>
        <v>166.32</v>
      </c>
      <c r="AS465" s="58" t="n">
        <v>0</v>
      </c>
      <c r="AT465" s="58" t="n">
        <v>8.24</v>
      </c>
      <c r="AU465" s="58" t="n">
        <v>21.3</v>
      </c>
      <c r="AV465" s="58" t="n">
        <v>394.2</v>
      </c>
      <c r="AW465" s="58" t="n">
        <f aca="false">0.55*AV465</f>
        <v>216.81</v>
      </c>
      <c r="AX465" s="58" t="n">
        <v>1</v>
      </c>
      <c r="AY465" s="58" t="n">
        <v>0</v>
      </c>
    </row>
    <row r="466" customFormat="false" ht="15" hidden="false" customHeight="false" outlineLevel="0" collapsed="false">
      <c r="A466" s="16" t="n">
        <v>45510</v>
      </c>
      <c r="B466" s="2" t="s">
        <v>52</v>
      </c>
      <c r="C466" s="29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</row>
    <row r="467" customFormat="false" ht="15" hidden="false" customHeight="false" outlineLevel="0" collapsed="false">
      <c r="A467" s="16" t="n">
        <v>45510</v>
      </c>
      <c r="B467" s="2" t="s">
        <v>57</v>
      </c>
      <c r="C467" s="29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</row>
    <row r="468" customFormat="false" ht="16.15" hidden="false" customHeight="false" outlineLevel="0" collapsed="false">
      <c r="A468" s="16" t="n">
        <v>45541</v>
      </c>
      <c r="B468" s="2" t="s">
        <v>51</v>
      </c>
      <c r="C468" s="57" t="n">
        <v>8.03</v>
      </c>
      <c r="D468" s="58" t="n">
        <v>22.3</v>
      </c>
      <c r="E468" s="58" t="n">
        <v>54.2</v>
      </c>
      <c r="F468" s="58" t="n">
        <f aca="false">E468*0.7</f>
        <v>37.94</v>
      </c>
      <c r="G468" s="58" t="n">
        <v>0.44</v>
      </c>
      <c r="H468" s="58" t="n">
        <v>8.01</v>
      </c>
      <c r="I468" s="58" t="n">
        <v>21.4</v>
      </c>
      <c r="J468" s="59"/>
      <c r="K468" s="59"/>
      <c r="L468" s="58" t="n">
        <v>0.36</v>
      </c>
      <c r="M468" s="58" t="n">
        <v>8.01</v>
      </c>
      <c r="N468" s="58" t="n">
        <v>21.4</v>
      </c>
      <c r="O468" s="59"/>
      <c r="P468" s="59"/>
      <c r="Q468" s="58" t="n">
        <v>0.32</v>
      </c>
      <c r="R468" s="58" t="n">
        <v>7.99</v>
      </c>
      <c r="S468" s="58" t="n">
        <v>21.6</v>
      </c>
      <c r="T468" s="59"/>
      <c r="U468" s="59"/>
      <c r="V468" s="58" t="n">
        <v>0</v>
      </c>
      <c r="W468" s="58" t="n">
        <v>7.99</v>
      </c>
      <c r="X468" s="58" t="n">
        <v>21</v>
      </c>
      <c r="Y468" s="59"/>
      <c r="Z468" s="59"/>
      <c r="AA468" s="58" t="n">
        <v>0</v>
      </c>
      <c r="AB468" s="58" t="n">
        <v>7.97</v>
      </c>
      <c r="AC468" s="58" t="n">
        <v>21</v>
      </c>
      <c r="AD468" s="58" t="n">
        <v>53.9</v>
      </c>
      <c r="AE468" s="58" t="n">
        <f aca="false">AD468*0.7</f>
        <v>37.73</v>
      </c>
      <c r="AF468" s="58"/>
      <c r="AG468" s="58" t="n">
        <v>0</v>
      </c>
      <c r="AH468" s="58"/>
      <c r="AI468" s="58" t="n">
        <v>7.97</v>
      </c>
      <c r="AJ468" s="58" t="n">
        <v>22.1</v>
      </c>
      <c r="AK468" s="58" t="n">
        <v>53.9</v>
      </c>
      <c r="AL468" s="58" t="n">
        <f aca="false">AK468*0.7</f>
        <v>37.73</v>
      </c>
      <c r="AM468" s="58"/>
      <c r="AN468" s="58" t="n">
        <v>0</v>
      </c>
      <c r="AO468" s="58" t="n">
        <v>6.25</v>
      </c>
      <c r="AP468" s="58" t="n">
        <v>22.5</v>
      </c>
      <c r="AQ468" s="58" t="n">
        <v>291</v>
      </c>
      <c r="AR468" s="58" t="n">
        <f aca="false">0.55*AQ468</f>
        <v>160.05</v>
      </c>
      <c r="AS468" s="58" t="n">
        <v>0</v>
      </c>
      <c r="AT468" s="58" t="n">
        <v>8.25</v>
      </c>
      <c r="AU468" s="58" t="n">
        <v>22.9</v>
      </c>
      <c r="AV468" s="58" t="n">
        <v>428.9</v>
      </c>
      <c r="AW468" s="58" t="n">
        <f aca="false">0.55*AV468</f>
        <v>235.895</v>
      </c>
      <c r="AX468" s="58" t="n">
        <v>0.9</v>
      </c>
      <c r="AY468" s="58" t="n">
        <v>0</v>
      </c>
    </row>
    <row r="469" customFormat="false" ht="15" hidden="false" customHeight="false" outlineLevel="0" collapsed="false">
      <c r="A469" s="16" t="n">
        <v>45541</v>
      </c>
      <c r="B469" s="2" t="s">
        <v>52</v>
      </c>
      <c r="C469" s="29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</row>
    <row r="470" customFormat="false" ht="15" hidden="false" customHeight="false" outlineLevel="0" collapsed="false">
      <c r="A470" s="16" t="n">
        <v>45541</v>
      </c>
      <c r="B470" s="2" t="s">
        <v>57</v>
      </c>
      <c r="C470" s="29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</row>
    <row r="471" customFormat="false" ht="15" hidden="false" customHeight="false" outlineLevel="0" collapsed="false">
      <c r="A471" s="16" t="n">
        <v>45571</v>
      </c>
      <c r="B471" s="2" t="s">
        <v>51</v>
      </c>
      <c r="C471" s="32" t="n">
        <v>8.03</v>
      </c>
      <c r="D471" s="33" t="n">
        <v>23.6</v>
      </c>
      <c r="E471" s="33" t="n">
        <v>54.3</v>
      </c>
      <c r="F471" s="33" t="n">
        <f aca="false">E471*0.7</f>
        <v>38.01</v>
      </c>
      <c r="G471" s="33" t="n">
        <v>0.44</v>
      </c>
      <c r="H471" s="33" t="n">
        <v>8.01</v>
      </c>
      <c r="I471" s="33" t="n">
        <v>21.5</v>
      </c>
      <c r="J471" s="60"/>
      <c r="K471" s="60"/>
      <c r="L471" s="33" t="n">
        <v>0.36</v>
      </c>
      <c r="M471" s="33" t="n">
        <v>8.01</v>
      </c>
      <c r="N471" s="33" t="n">
        <v>21.4</v>
      </c>
      <c r="O471" s="60"/>
      <c r="P471" s="60"/>
      <c r="Q471" s="33" t="n">
        <v>0.32</v>
      </c>
      <c r="R471" s="33" t="n">
        <v>7.98</v>
      </c>
      <c r="S471" s="33" t="n">
        <v>21.4</v>
      </c>
      <c r="T471" s="60"/>
      <c r="U471" s="60"/>
      <c r="V471" s="33" t="n">
        <v>0</v>
      </c>
      <c r="W471" s="33" t="n">
        <v>7.98</v>
      </c>
      <c r="X471" s="33" t="n">
        <v>21.3</v>
      </c>
      <c r="Y471" s="60"/>
      <c r="Z471" s="60"/>
      <c r="AA471" s="33" t="n">
        <v>0</v>
      </c>
      <c r="AB471" s="33" t="n">
        <v>7.96</v>
      </c>
      <c r="AC471" s="33" t="n">
        <v>21.4</v>
      </c>
      <c r="AD471" s="33" t="n">
        <v>54.3</v>
      </c>
      <c r="AE471" s="33" t="n">
        <f aca="false">AD471*0.7</f>
        <v>38.01</v>
      </c>
      <c r="AF471" s="33"/>
      <c r="AG471" s="33" t="n">
        <v>0</v>
      </c>
      <c r="AH471" s="33"/>
      <c r="AI471" s="33" t="n">
        <v>7.96</v>
      </c>
      <c r="AJ471" s="33" t="n">
        <v>21.4</v>
      </c>
      <c r="AK471" s="33" t="n">
        <v>54.3</v>
      </c>
      <c r="AL471" s="33" t="n">
        <f aca="false">AK471*0.7</f>
        <v>38.01</v>
      </c>
      <c r="AM471" s="33"/>
      <c r="AN471" s="33" t="n">
        <v>0</v>
      </c>
      <c r="AO471" s="33" t="n">
        <v>6.3</v>
      </c>
      <c r="AP471" s="33" t="n">
        <v>22</v>
      </c>
      <c r="AQ471" s="33" t="n">
        <v>297</v>
      </c>
      <c r="AR471" s="33" t="n">
        <f aca="false">0.55*AQ471</f>
        <v>163.35</v>
      </c>
      <c r="AS471" s="33" t="n">
        <v>0</v>
      </c>
      <c r="AT471" s="33" t="n">
        <v>8.27</v>
      </c>
      <c r="AU471" s="33" t="n">
        <v>23</v>
      </c>
      <c r="AV471" s="33" t="n">
        <v>428.9</v>
      </c>
      <c r="AW471" s="33" t="n">
        <f aca="false">0.55*AV471</f>
        <v>235.895</v>
      </c>
      <c r="AX471" s="33" t="n">
        <v>0.8</v>
      </c>
      <c r="AY471" s="33" t="n">
        <v>0</v>
      </c>
    </row>
    <row r="472" customFormat="false" ht="15" hidden="false" customHeight="false" outlineLevel="0" collapsed="false">
      <c r="A472" s="16" t="n">
        <v>45571</v>
      </c>
      <c r="B472" s="2" t="s">
        <v>52</v>
      </c>
      <c r="C472" s="29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</row>
    <row r="473" customFormat="false" ht="15" hidden="false" customHeight="false" outlineLevel="0" collapsed="false">
      <c r="A473" s="16" t="n">
        <v>45571</v>
      </c>
      <c r="B473" s="2" t="s">
        <v>57</v>
      </c>
      <c r="C473" s="29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</row>
    <row r="474" customFormat="false" ht="15" hidden="false" customHeight="false" outlineLevel="0" collapsed="false">
      <c r="A474" s="16" t="n">
        <v>45602</v>
      </c>
      <c r="B474" s="2" t="s">
        <v>51</v>
      </c>
      <c r="C474" s="32" t="n">
        <v>8.04</v>
      </c>
      <c r="D474" s="33" t="n">
        <v>22.1</v>
      </c>
      <c r="E474" s="33" t="n">
        <v>54.3</v>
      </c>
      <c r="F474" s="33" t="n">
        <f aca="false">E474*0.7</f>
        <v>38.01</v>
      </c>
      <c r="G474" s="33" t="n">
        <v>1.44</v>
      </c>
      <c r="H474" s="33" t="n">
        <v>8.02</v>
      </c>
      <c r="I474" s="33" t="n">
        <v>20.5</v>
      </c>
      <c r="J474" s="60"/>
      <c r="K474" s="60"/>
      <c r="L474" s="33" t="n">
        <v>0.32</v>
      </c>
      <c r="M474" s="33" t="n">
        <v>8.02</v>
      </c>
      <c r="N474" s="33" t="n">
        <v>20.5</v>
      </c>
      <c r="O474" s="60"/>
      <c r="P474" s="60"/>
      <c r="Q474" s="33" t="n">
        <v>0.2</v>
      </c>
      <c r="R474" s="33" t="n">
        <v>8</v>
      </c>
      <c r="S474" s="33" t="n">
        <v>20.4</v>
      </c>
      <c r="T474" s="60"/>
      <c r="U474" s="60"/>
      <c r="V474" s="33" t="n">
        <v>0</v>
      </c>
      <c r="W474" s="33" t="n">
        <v>8</v>
      </c>
      <c r="X474" s="33" t="n">
        <v>20.3</v>
      </c>
      <c r="Y474" s="60"/>
      <c r="Z474" s="60"/>
      <c r="AA474" s="33" t="n">
        <v>0</v>
      </c>
      <c r="AB474" s="33" t="n">
        <v>7.98</v>
      </c>
      <c r="AC474" s="33" t="n">
        <v>20.7</v>
      </c>
      <c r="AD474" s="33" t="n">
        <v>54.3</v>
      </c>
      <c r="AE474" s="33" t="n">
        <f aca="false">AD474*0.7</f>
        <v>38.01</v>
      </c>
      <c r="AF474" s="33"/>
      <c r="AG474" s="33" t="n">
        <v>0</v>
      </c>
      <c r="AH474" s="33"/>
      <c r="AI474" s="33" t="n">
        <v>7.97</v>
      </c>
      <c r="AJ474" s="33" t="n">
        <v>20.6</v>
      </c>
      <c r="AK474" s="33" t="n">
        <v>54.3</v>
      </c>
      <c r="AL474" s="33" t="n">
        <f aca="false">AK474*0.7</f>
        <v>38.01</v>
      </c>
      <c r="AM474" s="33"/>
      <c r="AN474" s="33" t="n">
        <v>0</v>
      </c>
      <c r="AO474" s="33" t="n">
        <v>6.45</v>
      </c>
      <c r="AP474" s="33" t="n">
        <v>21.2</v>
      </c>
      <c r="AQ474" s="33" t="n">
        <v>297</v>
      </c>
      <c r="AR474" s="33" t="n">
        <f aca="false">0.55*AQ474</f>
        <v>163.35</v>
      </c>
      <c r="AS474" s="33" t="n">
        <v>0</v>
      </c>
      <c r="AT474" s="33" t="n">
        <v>8.21</v>
      </c>
      <c r="AU474" s="33" t="n">
        <v>22</v>
      </c>
      <c r="AV474" s="33" t="n">
        <v>428.9</v>
      </c>
      <c r="AW474" s="33" t="n">
        <f aca="false">0.55*AV474</f>
        <v>235.895</v>
      </c>
      <c r="AX474" s="33" t="n">
        <v>0.8</v>
      </c>
      <c r="AY474" s="33" t="n">
        <v>0</v>
      </c>
    </row>
    <row r="475" customFormat="false" ht="15" hidden="false" customHeight="false" outlineLevel="0" collapsed="false">
      <c r="A475" s="16" t="n">
        <v>45602</v>
      </c>
      <c r="B475" s="2" t="s">
        <v>52</v>
      </c>
      <c r="C475" s="29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</row>
    <row r="476" customFormat="false" ht="15" hidden="false" customHeight="false" outlineLevel="0" collapsed="false">
      <c r="A476" s="16" t="n">
        <v>45602</v>
      </c>
      <c r="B476" s="2" t="s">
        <v>57</v>
      </c>
      <c r="C476" s="29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</row>
    <row r="477" customFormat="false" ht="16.15" hidden="false" customHeight="false" outlineLevel="0" collapsed="false">
      <c r="A477" s="16" t="n">
        <v>45632</v>
      </c>
      <c r="B477" s="2" t="s">
        <v>51</v>
      </c>
      <c r="C477" s="57" t="n">
        <v>8.05</v>
      </c>
      <c r="D477" s="58" t="n">
        <v>23.7</v>
      </c>
      <c r="E477" s="58" t="n">
        <v>54.2</v>
      </c>
      <c r="F477" s="58" t="n">
        <f aca="false">E477*0.7</f>
        <v>37.94</v>
      </c>
      <c r="G477" s="58" t="n">
        <v>0.24</v>
      </c>
      <c r="H477" s="58" t="n">
        <v>8.03</v>
      </c>
      <c r="I477" s="58" t="n">
        <v>21.9</v>
      </c>
      <c r="J477" s="59"/>
      <c r="K477" s="59"/>
      <c r="L477" s="58" t="n">
        <v>0.3</v>
      </c>
      <c r="M477" s="58" t="n">
        <v>8.03</v>
      </c>
      <c r="N477" s="58" t="n">
        <v>21.9</v>
      </c>
      <c r="O477" s="59"/>
      <c r="P477" s="59"/>
      <c r="Q477" s="58" t="n">
        <v>0.25</v>
      </c>
      <c r="R477" s="58" t="n">
        <v>8</v>
      </c>
      <c r="S477" s="58" t="n">
        <v>21.8</v>
      </c>
      <c r="T477" s="59"/>
      <c r="U477" s="59"/>
      <c r="V477" s="58" t="n">
        <v>0</v>
      </c>
      <c r="W477" s="58" t="n">
        <v>8</v>
      </c>
      <c r="X477" s="58" t="n">
        <v>21.7</v>
      </c>
      <c r="Y477" s="59"/>
      <c r="Z477" s="59"/>
      <c r="AA477" s="58" t="n">
        <v>0</v>
      </c>
      <c r="AB477" s="58" t="n">
        <v>7.98</v>
      </c>
      <c r="AC477" s="58" t="n">
        <v>21.6</v>
      </c>
      <c r="AD477" s="58" t="n">
        <v>54.2</v>
      </c>
      <c r="AE477" s="58" t="n">
        <f aca="false">AD477*0.7</f>
        <v>37.94</v>
      </c>
      <c r="AF477" s="58"/>
      <c r="AG477" s="58" t="n">
        <v>0</v>
      </c>
      <c r="AH477" s="58"/>
      <c r="AI477" s="58" t="n">
        <v>7.98</v>
      </c>
      <c r="AJ477" s="58" t="n">
        <v>21.7</v>
      </c>
      <c r="AK477" s="58" t="n">
        <v>54.2</v>
      </c>
      <c r="AL477" s="58" t="n">
        <f aca="false">AK477*0.7</f>
        <v>37.94</v>
      </c>
      <c r="AM477" s="58"/>
      <c r="AN477" s="58" t="n">
        <v>0</v>
      </c>
      <c r="AO477" s="58" t="n">
        <v>6.34</v>
      </c>
      <c r="AP477" s="58" t="n">
        <v>22.3</v>
      </c>
      <c r="AQ477" s="58" t="n">
        <v>298</v>
      </c>
      <c r="AR477" s="58" t="n">
        <f aca="false">0.55*AQ477</f>
        <v>163.9</v>
      </c>
      <c r="AS477" s="58" t="n">
        <v>0</v>
      </c>
      <c r="AT477" s="58" t="n">
        <v>8.32</v>
      </c>
      <c r="AU477" s="58" t="n">
        <v>22.8</v>
      </c>
      <c r="AV477" s="58" t="n">
        <v>437.6</v>
      </c>
      <c r="AW477" s="58" t="n">
        <f aca="false">0.55*AV477</f>
        <v>240.68</v>
      </c>
      <c r="AX477" s="58" t="n">
        <v>0.8</v>
      </c>
      <c r="AY477" s="58" t="n">
        <v>0</v>
      </c>
    </row>
    <row r="478" customFormat="false" ht="15" hidden="false" customHeight="false" outlineLevel="0" collapsed="false">
      <c r="A478" s="16" t="n">
        <v>45632</v>
      </c>
      <c r="B478" s="2" t="s">
        <v>52</v>
      </c>
      <c r="C478" s="29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</row>
    <row r="479" customFormat="false" ht="15" hidden="false" customHeight="false" outlineLevel="0" collapsed="false">
      <c r="A479" s="16" t="n">
        <v>45632</v>
      </c>
      <c r="B479" s="2" t="s">
        <v>57</v>
      </c>
      <c r="C479" s="29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</row>
    <row r="480" customFormat="false" ht="16.15" hidden="false" customHeight="false" outlineLevel="0" collapsed="false">
      <c r="A480" s="16" t="s">
        <v>133</v>
      </c>
      <c r="B480" s="2" t="s">
        <v>51</v>
      </c>
      <c r="C480" s="61" t="n">
        <v>8.05</v>
      </c>
      <c r="D480" s="62" t="n">
        <v>22.7</v>
      </c>
      <c r="E480" s="62" t="n">
        <v>54.2</v>
      </c>
      <c r="F480" s="62" t="n">
        <f aca="false">E480*0.7</f>
        <v>37.94</v>
      </c>
      <c r="G480" s="62" t="n">
        <v>0.24</v>
      </c>
      <c r="H480" s="62" t="n">
        <v>8.03</v>
      </c>
      <c r="I480" s="62" t="n">
        <v>21.4</v>
      </c>
      <c r="J480" s="63"/>
      <c r="K480" s="63"/>
      <c r="L480" s="62" t="n">
        <v>0.64</v>
      </c>
      <c r="M480" s="62" t="n">
        <v>8.03</v>
      </c>
      <c r="N480" s="62" t="n">
        <v>21.4</v>
      </c>
      <c r="O480" s="63"/>
      <c r="P480" s="63"/>
      <c r="Q480" s="62" t="n">
        <v>0.61</v>
      </c>
      <c r="R480" s="62" t="n">
        <v>8.01</v>
      </c>
      <c r="S480" s="62" t="n">
        <v>21.3</v>
      </c>
      <c r="T480" s="63"/>
      <c r="U480" s="63"/>
      <c r="V480" s="58" t="n">
        <v>0</v>
      </c>
      <c r="W480" s="62" t="n">
        <v>8.01</v>
      </c>
      <c r="X480" s="62" t="n">
        <v>21.3</v>
      </c>
      <c r="Y480" s="63"/>
      <c r="Z480" s="63"/>
      <c r="AA480" s="58" t="n">
        <v>0</v>
      </c>
      <c r="AB480" s="62" t="n">
        <v>7.99</v>
      </c>
      <c r="AC480" s="62" t="n">
        <v>21.2</v>
      </c>
      <c r="AD480" s="62" t="n">
        <v>54.1</v>
      </c>
      <c r="AE480" s="62" t="n">
        <f aca="false">AD480*0.7</f>
        <v>37.87</v>
      </c>
      <c r="AF480" s="62"/>
      <c r="AG480" s="58" t="n">
        <v>0</v>
      </c>
      <c r="AH480" s="62"/>
      <c r="AI480" s="62" t="n">
        <v>7.99</v>
      </c>
      <c r="AJ480" s="62" t="n">
        <v>21.3</v>
      </c>
      <c r="AK480" s="62" t="n">
        <v>54.1</v>
      </c>
      <c r="AL480" s="62" t="n">
        <f aca="false">AK480*0.7</f>
        <v>37.87</v>
      </c>
      <c r="AM480" s="62"/>
      <c r="AN480" s="58" t="n">
        <v>0</v>
      </c>
      <c r="AO480" s="62" t="n">
        <v>6.28</v>
      </c>
      <c r="AP480" s="62" t="n">
        <v>21.8</v>
      </c>
      <c r="AQ480" s="62" t="n">
        <v>264</v>
      </c>
      <c r="AR480" s="62" t="n">
        <f aca="false">0.55*AQ480</f>
        <v>145.2</v>
      </c>
      <c r="AS480" s="58" t="n">
        <v>0</v>
      </c>
      <c r="AT480" s="62" t="n">
        <v>8.3</v>
      </c>
      <c r="AU480" s="62" t="n">
        <v>21.3</v>
      </c>
      <c r="AV480" s="62" t="n">
        <v>412</v>
      </c>
      <c r="AW480" s="62" t="n">
        <f aca="false">0.55*AV480</f>
        <v>226.6</v>
      </c>
      <c r="AX480" s="62" t="n">
        <v>0.7</v>
      </c>
      <c r="AY480" s="58" t="n">
        <v>0</v>
      </c>
    </row>
    <row r="481" customFormat="false" ht="15" hidden="false" customHeight="false" outlineLevel="0" collapsed="false">
      <c r="A481" s="16" t="s">
        <v>133</v>
      </c>
      <c r="B481" s="2" t="s">
        <v>52</v>
      </c>
      <c r="C481" s="29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</row>
    <row r="482" customFormat="false" ht="15" hidden="false" customHeight="false" outlineLevel="0" collapsed="false">
      <c r="A482" s="16" t="s">
        <v>133</v>
      </c>
      <c r="B482" s="2" t="s">
        <v>57</v>
      </c>
      <c r="C482" s="29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</row>
    <row r="483" customFormat="false" ht="15" hidden="false" customHeight="false" outlineLevel="0" collapsed="false">
      <c r="A483" s="16" t="s">
        <v>134</v>
      </c>
      <c r="B483" s="2" t="s">
        <v>51</v>
      </c>
      <c r="C483" s="29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</row>
    <row r="484" customFormat="false" ht="15" hidden="false" customHeight="false" outlineLevel="0" collapsed="false">
      <c r="A484" s="16" t="s">
        <v>134</v>
      </c>
      <c r="B484" s="2" t="s">
        <v>52</v>
      </c>
      <c r="C484" s="29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</row>
    <row r="485" customFormat="false" ht="15" hidden="false" customHeight="false" outlineLevel="0" collapsed="false">
      <c r="A485" s="16" t="s">
        <v>134</v>
      </c>
      <c r="B485" s="2" t="s">
        <v>57</v>
      </c>
      <c r="C485" s="29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</row>
    <row r="486" customFormat="false" ht="16.15" hidden="false" customHeight="false" outlineLevel="0" collapsed="false">
      <c r="A486" s="16" t="s">
        <v>135</v>
      </c>
      <c r="B486" s="2" t="s">
        <v>51</v>
      </c>
      <c r="C486" s="61" t="n">
        <v>8.01</v>
      </c>
      <c r="D486" s="62" t="n">
        <v>22.4</v>
      </c>
      <c r="E486" s="62" t="n">
        <v>54.1</v>
      </c>
      <c r="F486" s="62" t="n">
        <f aca="false">E486*0.7</f>
        <v>37.87</v>
      </c>
      <c r="G486" s="62" t="n">
        <v>0.25</v>
      </c>
      <c r="H486" s="62" t="n">
        <v>7.99</v>
      </c>
      <c r="I486" s="62" t="n">
        <v>22.3</v>
      </c>
      <c r="J486" s="63"/>
      <c r="K486" s="63"/>
      <c r="L486" s="62" t="n">
        <v>0.32</v>
      </c>
      <c r="M486" s="62" t="n">
        <v>7.99</v>
      </c>
      <c r="N486" s="62" t="n">
        <v>22.3</v>
      </c>
      <c r="O486" s="63"/>
      <c r="P486" s="63"/>
      <c r="Q486" s="62" t="n">
        <v>0.34</v>
      </c>
      <c r="R486" s="62" t="n">
        <v>8</v>
      </c>
      <c r="S486" s="62" t="n">
        <v>22</v>
      </c>
      <c r="T486" s="63"/>
      <c r="U486" s="63"/>
      <c r="V486" s="58" t="n">
        <v>0</v>
      </c>
      <c r="W486" s="62" t="n">
        <v>8</v>
      </c>
      <c r="X486" s="62" t="n">
        <v>22</v>
      </c>
      <c r="Y486" s="63"/>
      <c r="Z486" s="63"/>
      <c r="AA486" s="58" t="n">
        <v>0</v>
      </c>
      <c r="AB486" s="62" t="n">
        <v>8</v>
      </c>
      <c r="AC486" s="62" t="n">
        <v>21.3</v>
      </c>
      <c r="AD486" s="62" t="n">
        <v>54.1</v>
      </c>
      <c r="AE486" s="62" t="n">
        <f aca="false">AD486*0.7</f>
        <v>37.87</v>
      </c>
      <c r="AF486" s="62"/>
      <c r="AG486" s="58" t="n">
        <v>0</v>
      </c>
      <c r="AH486" s="62"/>
      <c r="AI486" s="62" t="n">
        <v>8</v>
      </c>
      <c r="AJ486" s="62" t="n">
        <v>21.3</v>
      </c>
      <c r="AK486" s="62" t="n">
        <v>54.1</v>
      </c>
      <c r="AL486" s="62" t="n">
        <f aca="false">AK486*0.7</f>
        <v>37.87</v>
      </c>
      <c r="AM486" s="62"/>
      <c r="AN486" s="58" t="n">
        <v>0</v>
      </c>
      <c r="AO486" s="62" t="n">
        <v>7</v>
      </c>
      <c r="AP486" s="62" t="n">
        <v>21.7</v>
      </c>
      <c r="AQ486" s="62" t="n">
        <v>394</v>
      </c>
      <c r="AR486" s="62" t="n">
        <f aca="false">0.55*AQ486</f>
        <v>216.7</v>
      </c>
      <c r="AS486" s="58" t="n">
        <v>0</v>
      </c>
      <c r="AT486" s="62" t="n">
        <v>8.33</v>
      </c>
      <c r="AU486" s="62" t="n">
        <v>23.2</v>
      </c>
      <c r="AV486" s="62" t="n">
        <v>437.7</v>
      </c>
      <c r="AW486" s="58" t="n">
        <f aca="false">0.55*AV486</f>
        <v>240.735</v>
      </c>
      <c r="AX486" s="62" t="n">
        <v>0.9</v>
      </c>
      <c r="AY486" s="58" t="n">
        <v>0</v>
      </c>
    </row>
    <row r="487" customFormat="false" ht="15" hidden="false" customHeight="false" outlineLevel="0" collapsed="false">
      <c r="A487" s="16" t="s">
        <v>135</v>
      </c>
      <c r="B487" s="2" t="s">
        <v>52</v>
      </c>
      <c r="C487" s="29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</row>
    <row r="488" customFormat="false" ht="15" hidden="false" customHeight="false" outlineLevel="0" collapsed="false">
      <c r="A488" s="16" t="s">
        <v>135</v>
      </c>
      <c r="B488" s="2" t="s">
        <v>57</v>
      </c>
      <c r="C488" s="29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</row>
    <row r="489" customFormat="false" ht="15" hidden="false" customHeight="false" outlineLevel="0" collapsed="false">
      <c r="A489" s="16" t="s">
        <v>136</v>
      </c>
      <c r="B489" s="2" t="s">
        <v>51</v>
      </c>
      <c r="C489" s="29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</row>
    <row r="490" customFormat="false" ht="15" hidden="false" customHeight="false" outlineLevel="0" collapsed="false">
      <c r="A490" s="16" t="s">
        <v>136</v>
      </c>
      <c r="B490" s="2" t="s">
        <v>52</v>
      </c>
      <c r="C490" s="29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</row>
    <row r="491" customFormat="false" ht="15" hidden="false" customHeight="false" outlineLevel="0" collapsed="false">
      <c r="A491" s="16" t="s">
        <v>136</v>
      </c>
      <c r="B491" s="2" t="s">
        <v>57</v>
      </c>
      <c r="C491" s="29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</row>
    <row r="492" customFormat="false" ht="16.15" hidden="false" customHeight="false" outlineLevel="0" collapsed="false">
      <c r="A492" s="16" t="s">
        <v>137</v>
      </c>
      <c r="B492" s="2" t="s">
        <v>51</v>
      </c>
      <c r="C492" s="61" t="n">
        <v>8.01</v>
      </c>
      <c r="D492" s="62" t="n">
        <v>23</v>
      </c>
      <c r="E492" s="62" t="n">
        <v>54.1</v>
      </c>
      <c r="F492" s="62" t="n">
        <f aca="false">E492*0.7</f>
        <v>37.87</v>
      </c>
      <c r="G492" s="62" t="n">
        <v>0.18</v>
      </c>
      <c r="H492" s="62" t="n">
        <v>8</v>
      </c>
      <c r="I492" s="62" t="n">
        <v>22.9</v>
      </c>
      <c r="J492" s="63"/>
      <c r="K492" s="63"/>
      <c r="L492" s="62" t="n">
        <v>0.2</v>
      </c>
      <c r="M492" s="62" t="n">
        <v>8</v>
      </c>
      <c r="N492" s="62" t="n">
        <v>22.8</v>
      </c>
      <c r="O492" s="63"/>
      <c r="P492" s="63"/>
      <c r="Q492" s="62" t="n">
        <v>0.2</v>
      </c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62" t="n">
        <v>8.4</v>
      </c>
      <c r="AU492" s="62" t="n">
        <v>24</v>
      </c>
      <c r="AV492" s="62" t="n">
        <v>439</v>
      </c>
      <c r="AW492" s="58" t="n">
        <f aca="false">0.55*AV492</f>
        <v>241.45</v>
      </c>
      <c r="AX492" s="62" t="n">
        <v>1</v>
      </c>
      <c r="AY492" s="58" t="n">
        <v>0</v>
      </c>
    </row>
    <row r="493" customFormat="false" ht="16.15" hidden="false" customHeight="false" outlineLevel="0" collapsed="false">
      <c r="A493" s="16" t="s">
        <v>138</v>
      </c>
      <c r="B493" s="2" t="s">
        <v>51</v>
      </c>
      <c r="C493" s="61" t="n">
        <v>8.04</v>
      </c>
      <c r="D493" s="62" t="n">
        <v>24.7</v>
      </c>
      <c r="E493" s="62" t="n">
        <v>54.1</v>
      </c>
      <c r="F493" s="62" t="n">
        <f aca="false">E493*0.7</f>
        <v>37.87</v>
      </c>
      <c r="G493" s="62" t="n">
        <v>0.28</v>
      </c>
      <c r="H493" s="62" t="n">
        <v>8.01</v>
      </c>
      <c r="I493" s="62" t="n">
        <v>22.9</v>
      </c>
      <c r="J493" s="63"/>
      <c r="K493" s="63"/>
      <c r="L493" s="62" t="n">
        <v>0.96</v>
      </c>
      <c r="M493" s="62" t="n">
        <v>8.01</v>
      </c>
      <c r="N493" s="62" t="n">
        <v>22.9</v>
      </c>
      <c r="O493" s="63"/>
      <c r="P493" s="63"/>
      <c r="Q493" s="62" t="n">
        <v>1.01</v>
      </c>
      <c r="R493" s="62" t="n">
        <v>7.99</v>
      </c>
      <c r="S493" s="62" t="n">
        <v>22.9</v>
      </c>
      <c r="T493" s="63"/>
      <c r="U493" s="63"/>
      <c r="V493" s="58" t="n">
        <v>0</v>
      </c>
      <c r="W493" s="62" t="n">
        <v>7.99</v>
      </c>
      <c r="X493" s="62" t="n">
        <v>22.8</v>
      </c>
      <c r="Y493" s="63"/>
      <c r="Z493" s="63"/>
      <c r="AA493" s="58" t="n">
        <v>0</v>
      </c>
      <c r="AB493" s="62" t="n">
        <v>7.97</v>
      </c>
      <c r="AC493" s="62" t="n">
        <v>22.9</v>
      </c>
      <c r="AD493" s="62" t="n">
        <v>54.1</v>
      </c>
      <c r="AE493" s="62" t="n">
        <f aca="false">AD493*0.7</f>
        <v>37.87</v>
      </c>
      <c r="AF493" s="62"/>
      <c r="AG493" s="58" t="n">
        <v>0</v>
      </c>
      <c r="AH493" s="62"/>
      <c r="AI493" s="62" t="n">
        <v>7.97</v>
      </c>
      <c r="AJ493" s="62" t="n">
        <v>22.9</v>
      </c>
      <c r="AK493" s="62" t="n">
        <v>54.1</v>
      </c>
      <c r="AL493" s="62" t="n">
        <f aca="false">AK493*0.7</f>
        <v>37.87</v>
      </c>
      <c r="AM493" s="62"/>
      <c r="AN493" s="58" t="n">
        <v>0</v>
      </c>
      <c r="AO493" s="62" t="n">
        <v>6.26</v>
      </c>
      <c r="AP493" s="62" t="n">
        <v>23.1</v>
      </c>
      <c r="AQ493" s="62" t="n">
        <v>350</v>
      </c>
      <c r="AR493" s="62" t="n">
        <f aca="false">0.55*AQ493</f>
        <v>192.5</v>
      </c>
      <c r="AS493" s="58" t="n">
        <v>0</v>
      </c>
      <c r="AT493" s="62" t="n">
        <v>8.48</v>
      </c>
      <c r="AU493" s="62" t="n">
        <v>24.5</v>
      </c>
      <c r="AV493" s="62" t="n">
        <v>459</v>
      </c>
      <c r="AW493" s="58" t="n">
        <f aca="false">0.55*AV493</f>
        <v>252.45</v>
      </c>
      <c r="AX493" s="62" t="n">
        <v>1.1</v>
      </c>
      <c r="AY493" s="58" t="n">
        <v>0</v>
      </c>
    </row>
    <row r="494" customFormat="false" ht="15" hidden="false" customHeight="false" outlineLevel="0" collapsed="false">
      <c r="A494" s="16" t="s">
        <v>138</v>
      </c>
      <c r="B494" s="2" t="s">
        <v>52</v>
      </c>
      <c r="C494" s="29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</row>
    <row r="495" customFormat="false" ht="15" hidden="false" customHeight="false" outlineLevel="0" collapsed="false">
      <c r="A495" s="16" t="s">
        <v>138</v>
      </c>
      <c r="B495" s="2" t="s">
        <v>57</v>
      </c>
      <c r="C495" s="29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</row>
    <row r="496" customFormat="false" ht="16.15" hidden="false" customHeight="false" outlineLevel="0" collapsed="false">
      <c r="A496" s="16" t="s">
        <v>139</v>
      </c>
      <c r="B496" s="2" t="s">
        <v>51</v>
      </c>
      <c r="C496" s="61" t="n">
        <v>8.04</v>
      </c>
      <c r="D496" s="62" t="n">
        <v>23.8</v>
      </c>
      <c r="E496" s="62" t="n">
        <v>54.1</v>
      </c>
      <c r="F496" s="62" t="n">
        <f aca="false">E496*0.7</f>
        <v>37.87</v>
      </c>
      <c r="G496" s="62" t="n">
        <v>0.3</v>
      </c>
      <c r="H496" s="62" t="n">
        <v>8.02</v>
      </c>
      <c r="I496" s="62" t="n">
        <v>22.9</v>
      </c>
      <c r="J496" s="63"/>
      <c r="K496" s="63"/>
      <c r="L496" s="62" t="n">
        <v>0.42</v>
      </c>
      <c r="M496" s="62" t="n">
        <v>8.02</v>
      </c>
      <c r="N496" s="62" t="n">
        <v>23</v>
      </c>
      <c r="O496" s="63"/>
      <c r="P496" s="63"/>
      <c r="Q496" s="62" t="n">
        <v>0.44</v>
      </c>
      <c r="R496" s="62" t="n">
        <v>8</v>
      </c>
      <c r="S496" s="62" t="n">
        <v>23</v>
      </c>
      <c r="T496" s="63"/>
      <c r="U496" s="63"/>
      <c r="V496" s="58" t="n">
        <v>0</v>
      </c>
      <c r="W496" s="62" t="n">
        <v>8</v>
      </c>
      <c r="X496" s="62" t="n">
        <v>23</v>
      </c>
      <c r="Y496" s="63"/>
      <c r="Z496" s="63"/>
      <c r="AA496" s="58" t="n">
        <v>0</v>
      </c>
      <c r="AB496" s="62" t="n">
        <v>7.97</v>
      </c>
      <c r="AC496" s="62" t="n">
        <v>22.9</v>
      </c>
      <c r="AD496" s="62" t="n">
        <v>53.9</v>
      </c>
      <c r="AE496" s="62" t="n">
        <f aca="false">AD496*0.7</f>
        <v>37.73</v>
      </c>
      <c r="AF496" s="62"/>
      <c r="AG496" s="58" t="n">
        <v>0</v>
      </c>
      <c r="AH496" s="62"/>
      <c r="AI496" s="62" t="n">
        <v>7.97</v>
      </c>
      <c r="AJ496" s="62" t="n">
        <v>22.9</v>
      </c>
      <c r="AK496" s="62" t="n">
        <v>53.9</v>
      </c>
      <c r="AL496" s="62" t="n">
        <f aca="false">AK496*0.7</f>
        <v>37.73</v>
      </c>
      <c r="AM496" s="62"/>
      <c r="AN496" s="58" t="n">
        <v>0</v>
      </c>
      <c r="AO496" s="62" t="n">
        <v>6.31</v>
      </c>
      <c r="AP496" s="62" t="n">
        <v>23.4</v>
      </c>
      <c r="AQ496" s="62" t="n">
        <v>461</v>
      </c>
      <c r="AR496" s="62" t="n">
        <f aca="false">0.55*AQ496</f>
        <v>253.55</v>
      </c>
      <c r="AS496" s="58" t="n">
        <v>0</v>
      </c>
      <c r="AT496" s="62" t="n">
        <v>8.01</v>
      </c>
      <c r="AU496" s="62" t="n">
        <v>24.3</v>
      </c>
      <c r="AV496" s="62" t="n">
        <v>524</v>
      </c>
      <c r="AW496" s="58" t="n">
        <f aca="false">0.55*AV496</f>
        <v>288.2</v>
      </c>
      <c r="AX496" s="62" t="n">
        <v>1</v>
      </c>
      <c r="AY496" s="58" t="n">
        <v>0</v>
      </c>
    </row>
    <row r="497" customFormat="false" ht="15" hidden="false" customHeight="false" outlineLevel="0" collapsed="false">
      <c r="A497" s="16" t="s">
        <v>139</v>
      </c>
      <c r="B497" s="2" t="s">
        <v>52</v>
      </c>
      <c r="C497" s="29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</row>
    <row r="498" customFormat="false" ht="15" hidden="false" customHeight="false" outlineLevel="0" collapsed="false">
      <c r="A498" s="16" t="s">
        <v>139</v>
      </c>
      <c r="B498" s="2" t="s">
        <v>57</v>
      </c>
      <c r="C498" s="29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</row>
    <row r="499" customFormat="false" ht="15" hidden="false" customHeight="false" outlineLevel="0" collapsed="false">
      <c r="A499" s="16" t="s">
        <v>140</v>
      </c>
      <c r="B499" s="2" t="s">
        <v>51</v>
      </c>
      <c r="C499" s="29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</row>
    <row r="500" customFormat="false" ht="15" hidden="false" customHeight="false" outlineLevel="0" collapsed="false">
      <c r="A500" s="16" t="s">
        <v>140</v>
      </c>
      <c r="B500" s="2" t="s">
        <v>52</v>
      </c>
      <c r="C500" s="29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</row>
    <row r="501" customFormat="false" ht="15" hidden="false" customHeight="false" outlineLevel="0" collapsed="false">
      <c r="A501" s="16" t="s">
        <v>140</v>
      </c>
      <c r="B501" s="2" t="s">
        <v>57</v>
      </c>
      <c r="C501" s="29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</row>
    <row r="502" customFormat="false" ht="16.15" hidden="false" customHeight="false" outlineLevel="0" collapsed="false">
      <c r="A502" s="16" t="s">
        <v>141</v>
      </c>
      <c r="B502" s="2" t="s">
        <v>51</v>
      </c>
      <c r="C502" s="61" t="n">
        <v>8.07</v>
      </c>
      <c r="D502" s="62" t="n">
        <v>23.2</v>
      </c>
      <c r="E502" s="62" t="n">
        <v>54</v>
      </c>
      <c r="F502" s="62" t="n">
        <f aca="false">E502*0.7</f>
        <v>37.8</v>
      </c>
      <c r="G502" s="62" t="n">
        <v>0.42</v>
      </c>
      <c r="H502" s="62" t="n">
        <v>8.05</v>
      </c>
      <c r="I502" s="62" t="n">
        <v>23</v>
      </c>
      <c r="J502" s="63"/>
      <c r="K502" s="63"/>
      <c r="L502" s="62" t="n">
        <v>0.32</v>
      </c>
      <c r="M502" s="62" t="n">
        <v>8.05</v>
      </c>
      <c r="N502" s="62" t="n">
        <v>23</v>
      </c>
      <c r="O502" s="63"/>
      <c r="P502" s="63"/>
      <c r="Q502" s="62" t="n">
        <v>0.32</v>
      </c>
      <c r="R502" s="62" t="n">
        <v>8.01</v>
      </c>
      <c r="S502" s="62" t="n">
        <v>22.7</v>
      </c>
      <c r="T502" s="63"/>
      <c r="U502" s="63"/>
      <c r="V502" s="58" t="n">
        <v>0</v>
      </c>
      <c r="W502" s="62" t="n">
        <v>7.99</v>
      </c>
      <c r="X502" s="62" t="n">
        <v>22.7</v>
      </c>
      <c r="Y502" s="63"/>
      <c r="Z502" s="63"/>
      <c r="AA502" s="58" t="n">
        <v>0</v>
      </c>
      <c r="AB502" s="62" t="n">
        <v>8</v>
      </c>
      <c r="AC502" s="62" t="n">
        <v>22.3</v>
      </c>
      <c r="AD502" s="62" t="n">
        <v>53.9</v>
      </c>
      <c r="AE502" s="62" t="n">
        <f aca="false">AD502*0.7</f>
        <v>37.73</v>
      </c>
      <c r="AF502" s="62"/>
      <c r="AG502" s="58" t="n">
        <v>0</v>
      </c>
      <c r="AH502" s="58" t="n">
        <v>0</v>
      </c>
      <c r="AI502" s="62" t="n">
        <v>8</v>
      </c>
      <c r="AJ502" s="62" t="n">
        <v>22.3</v>
      </c>
      <c r="AK502" s="62" t="n">
        <v>53.9</v>
      </c>
      <c r="AL502" s="62" t="n">
        <f aca="false">AK502*0.7</f>
        <v>37.73</v>
      </c>
      <c r="AM502" s="62"/>
      <c r="AN502" s="58" t="n">
        <v>0</v>
      </c>
      <c r="AO502" s="62" t="n">
        <v>6.18</v>
      </c>
      <c r="AP502" s="62" t="n">
        <v>22.1</v>
      </c>
      <c r="AQ502" s="62" t="n">
        <v>399</v>
      </c>
      <c r="AR502" s="62" t="n">
        <f aca="false">0.55*AQ502</f>
        <v>219.45</v>
      </c>
      <c r="AS502" s="58" t="n">
        <v>0</v>
      </c>
      <c r="AT502" s="62" t="n">
        <v>8.28</v>
      </c>
      <c r="AU502" s="62" t="n">
        <v>24.3</v>
      </c>
      <c r="AV502" s="62" t="n">
        <v>524</v>
      </c>
      <c r="AW502" s="58" t="n">
        <f aca="false">0.55*AV502</f>
        <v>288.2</v>
      </c>
      <c r="AX502" s="62" t="n">
        <v>0.8</v>
      </c>
      <c r="AY502" s="58" t="n">
        <v>0</v>
      </c>
    </row>
    <row r="503" customFormat="false" ht="16.15" hidden="false" customHeight="false" outlineLevel="0" collapsed="false">
      <c r="A503" s="16" t="s">
        <v>142</v>
      </c>
      <c r="B503" s="2" t="s">
        <v>51</v>
      </c>
      <c r="C503" s="61" t="n">
        <v>8.07</v>
      </c>
      <c r="D503" s="62" t="n">
        <v>24</v>
      </c>
      <c r="E503" s="62" t="n">
        <v>54</v>
      </c>
      <c r="F503" s="62" t="n">
        <f aca="false">E503*0.7</f>
        <v>37.8</v>
      </c>
      <c r="G503" s="62" t="n">
        <v>0.24</v>
      </c>
      <c r="H503" s="62" t="n">
        <v>8.05</v>
      </c>
      <c r="I503" s="62" t="n">
        <v>22.9</v>
      </c>
      <c r="J503" s="63"/>
      <c r="K503" s="63"/>
      <c r="L503" s="62" t="n">
        <v>0.3</v>
      </c>
      <c r="M503" s="62" t="n">
        <v>8.05</v>
      </c>
      <c r="N503" s="62" t="n">
        <v>22.8</v>
      </c>
      <c r="O503" s="63"/>
      <c r="P503" s="63"/>
      <c r="Q503" s="62" t="n">
        <v>0.25</v>
      </c>
      <c r="R503" s="62" t="n">
        <v>8.04</v>
      </c>
      <c r="S503" s="62" t="n">
        <v>22.8</v>
      </c>
      <c r="T503" s="63"/>
      <c r="U503" s="63"/>
      <c r="V503" s="58" t="n">
        <v>0</v>
      </c>
      <c r="W503" s="62" t="n">
        <v>8.02</v>
      </c>
      <c r="X503" s="62" t="n">
        <v>22.6</v>
      </c>
      <c r="Y503" s="63"/>
      <c r="Z503" s="63"/>
      <c r="AA503" s="58" t="n">
        <v>0</v>
      </c>
      <c r="AB503" s="62" t="n">
        <v>8.02</v>
      </c>
      <c r="AC503" s="62" t="n">
        <v>22.5</v>
      </c>
      <c r="AD503" s="62" t="n">
        <v>54</v>
      </c>
      <c r="AE503" s="62" t="n">
        <f aca="false">AD503*0.7</f>
        <v>37.8</v>
      </c>
      <c r="AF503" s="62"/>
      <c r="AG503" s="58" t="n">
        <v>0</v>
      </c>
      <c r="AH503" s="62"/>
      <c r="AI503" s="62" t="n">
        <v>8.02</v>
      </c>
      <c r="AJ503" s="62" t="n">
        <v>22.5</v>
      </c>
      <c r="AK503" s="62" t="n">
        <v>54</v>
      </c>
      <c r="AL503" s="62" t="n">
        <f aca="false">AK503*0.7</f>
        <v>37.8</v>
      </c>
      <c r="AM503" s="62"/>
      <c r="AN503" s="58" t="n">
        <v>0</v>
      </c>
      <c r="AO503" s="62" t="n">
        <v>6.29</v>
      </c>
      <c r="AP503" s="62" t="n">
        <v>23.4</v>
      </c>
      <c r="AQ503" s="62" t="n">
        <v>344</v>
      </c>
      <c r="AR503" s="62" t="n">
        <f aca="false">0.55*AQ503</f>
        <v>189.2</v>
      </c>
      <c r="AS503" s="58" t="n">
        <v>0</v>
      </c>
      <c r="AT503" s="62" t="n">
        <v>8.43</v>
      </c>
      <c r="AU503" s="62" t="n">
        <v>23.6</v>
      </c>
      <c r="AV503" s="62" t="n">
        <v>481.3</v>
      </c>
      <c r="AW503" s="58" t="n">
        <f aca="false">0.55*AV503</f>
        <v>264.715</v>
      </c>
      <c r="AX503" s="62" t="n">
        <v>1</v>
      </c>
      <c r="AY503" s="58" t="n">
        <v>0</v>
      </c>
    </row>
    <row r="504" customFormat="false" ht="15" hidden="false" customHeight="false" outlineLevel="0" collapsed="false">
      <c r="A504" s="16" t="s">
        <v>142</v>
      </c>
      <c r="B504" s="2" t="s">
        <v>52</v>
      </c>
      <c r="C504" s="29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</row>
    <row r="505" customFormat="false" ht="15" hidden="false" customHeight="false" outlineLevel="0" collapsed="false">
      <c r="A505" s="16" t="s">
        <v>142</v>
      </c>
      <c r="B505" s="2" t="s">
        <v>57</v>
      </c>
      <c r="C505" s="29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</row>
    <row r="506" customFormat="false" ht="16.15" hidden="false" customHeight="false" outlineLevel="0" collapsed="false">
      <c r="A506" s="16" t="s">
        <v>143</v>
      </c>
      <c r="B506" s="2" t="s">
        <v>51</v>
      </c>
      <c r="C506" s="61" t="n">
        <v>8.04</v>
      </c>
      <c r="D506" s="62" t="n">
        <v>23.9</v>
      </c>
      <c r="E506" s="62" t="n">
        <v>54.1</v>
      </c>
      <c r="F506" s="62" t="n">
        <f aca="false">E506*0.7</f>
        <v>37.87</v>
      </c>
      <c r="G506" s="62" t="n">
        <v>0.25</v>
      </c>
      <c r="H506" s="62" t="n">
        <v>8.02</v>
      </c>
      <c r="I506" s="62" t="n">
        <v>22.4</v>
      </c>
      <c r="J506" s="63"/>
      <c r="K506" s="63"/>
      <c r="L506" s="62" t="n">
        <v>0.75</v>
      </c>
      <c r="M506" s="62" t="n">
        <v>8.02</v>
      </c>
      <c r="N506" s="62" t="n">
        <v>22.3</v>
      </c>
      <c r="O506" s="63"/>
      <c r="P506" s="63"/>
      <c r="Q506" s="62" t="n">
        <v>0.55</v>
      </c>
      <c r="R506" s="62" t="n">
        <v>8</v>
      </c>
      <c r="S506" s="62" t="n">
        <v>22.1</v>
      </c>
      <c r="T506" s="63"/>
      <c r="U506" s="63"/>
      <c r="V506" s="58" t="n">
        <v>0</v>
      </c>
      <c r="W506" s="62" t="n">
        <v>8</v>
      </c>
      <c r="X506" s="62" t="n">
        <v>22.1</v>
      </c>
      <c r="Y506" s="63"/>
      <c r="Z506" s="63"/>
      <c r="AA506" s="58" t="n">
        <v>0</v>
      </c>
      <c r="AB506" s="62" t="n">
        <v>7.97</v>
      </c>
      <c r="AC506" s="62" t="n">
        <v>22.4</v>
      </c>
      <c r="AD506" s="62" t="n">
        <v>54</v>
      </c>
      <c r="AE506" s="62" t="n">
        <f aca="false">AD506*0.7</f>
        <v>37.8</v>
      </c>
      <c r="AF506" s="62"/>
      <c r="AG506" s="58" t="n">
        <v>0</v>
      </c>
      <c r="AH506" s="62"/>
      <c r="AI506" s="62" t="n">
        <v>7.96</v>
      </c>
      <c r="AJ506" s="62" t="n">
        <v>22.3</v>
      </c>
      <c r="AK506" s="62" t="n">
        <v>54</v>
      </c>
      <c r="AL506" s="62" t="n">
        <f aca="false">AK506*0.7</f>
        <v>37.8</v>
      </c>
      <c r="AM506" s="62"/>
      <c r="AN506" s="58" t="n">
        <v>0</v>
      </c>
      <c r="AO506" s="62" t="n">
        <v>6.34</v>
      </c>
      <c r="AP506" s="62" t="n">
        <v>22.7</v>
      </c>
      <c r="AQ506" s="62" t="n">
        <v>434</v>
      </c>
      <c r="AR506" s="62" t="n">
        <f aca="false">0.55*AQ506</f>
        <v>238.7</v>
      </c>
      <c r="AS506" s="58" t="n">
        <v>0</v>
      </c>
      <c r="AT506" s="62" t="n">
        <v>8.27</v>
      </c>
      <c r="AU506" s="62" t="n">
        <v>24</v>
      </c>
      <c r="AV506" s="62" t="n">
        <v>460.7</v>
      </c>
      <c r="AW506" s="62" t="n">
        <f aca="false">0.55*AV506</f>
        <v>253.385</v>
      </c>
      <c r="AX506" s="62" t="n">
        <v>1</v>
      </c>
      <c r="AY506" s="58" t="n">
        <v>0</v>
      </c>
    </row>
    <row r="507" customFormat="false" ht="15" hidden="false" customHeight="false" outlineLevel="0" collapsed="false">
      <c r="A507" s="16" t="s">
        <v>143</v>
      </c>
      <c r="B507" s="2" t="s">
        <v>52</v>
      </c>
      <c r="C507" s="29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</row>
    <row r="508" customFormat="false" ht="15" hidden="false" customHeight="false" outlineLevel="0" collapsed="false">
      <c r="A508" s="16" t="s">
        <v>143</v>
      </c>
      <c r="B508" s="2" t="s">
        <v>57</v>
      </c>
      <c r="C508" s="29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</row>
    <row r="509" customFormat="false" ht="16.15" hidden="false" customHeight="false" outlineLevel="0" collapsed="false">
      <c r="A509" s="16" t="s">
        <v>144</v>
      </c>
      <c r="B509" s="2" t="s">
        <v>51</v>
      </c>
      <c r="C509" s="61" t="n">
        <v>8.04</v>
      </c>
      <c r="D509" s="62" t="n">
        <v>23.6</v>
      </c>
      <c r="E509" s="62" t="n">
        <v>54</v>
      </c>
      <c r="F509" s="62" t="n">
        <f aca="false">E509*0.7</f>
        <v>37.8</v>
      </c>
      <c r="G509" s="62" t="n">
        <v>0.25</v>
      </c>
      <c r="H509" s="62" t="n">
        <v>8.02</v>
      </c>
      <c r="I509" s="62" t="n">
        <v>22.1</v>
      </c>
      <c r="J509" s="63"/>
      <c r="K509" s="63"/>
      <c r="L509" s="62" t="n">
        <v>0.35</v>
      </c>
      <c r="M509" s="62" t="n">
        <v>8.03</v>
      </c>
      <c r="N509" s="62" t="n">
        <v>22</v>
      </c>
      <c r="O509" s="63"/>
      <c r="P509" s="63"/>
      <c r="Q509" s="62" t="n">
        <v>0.25</v>
      </c>
      <c r="R509" s="62" t="n">
        <v>8.01</v>
      </c>
      <c r="S509" s="62" t="n">
        <v>21.8</v>
      </c>
      <c r="T509" s="63"/>
      <c r="U509" s="63"/>
      <c r="V509" s="58" t="n">
        <v>0</v>
      </c>
      <c r="W509" s="62" t="n">
        <v>8.01</v>
      </c>
      <c r="X509" s="62" t="n">
        <v>21.8</v>
      </c>
      <c r="Y509" s="63"/>
      <c r="Z509" s="63"/>
      <c r="AA509" s="58" t="n">
        <v>0</v>
      </c>
      <c r="AB509" s="62" t="n">
        <v>7.99</v>
      </c>
      <c r="AC509" s="62" t="n">
        <v>22.1</v>
      </c>
      <c r="AD509" s="62" t="n">
        <v>53.7</v>
      </c>
      <c r="AE509" s="62" t="n">
        <f aca="false">AD509*0.7</f>
        <v>37.59</v>
      </c>
      <c r="AF509" s="62"/>
      <c r="AG509" s="58" t="n">
        <v>0</v>
      </c>
      <c r="AH509" s="62"/>
      <c r="AI509" s="62" t="n">
        <v>7.99</v>
      </c>
      <c r="AJ509" s="62" t="n">
        <v>22.1</v>
      </c>
      <c r="AK509" s="62" t="n">
        <v>53.7</v>
      </c>
      <c r="AL509" s="62" t="n">
        <f aca="false">AK509*0.7</f>
        <v>37.59</v>
      </c>
      <c r="AM509" s="62"/>
      <c r="AN509" s="58" t="n">
        <v>0</v>
      </c>
      <c r="AO509" s="62" t="n">
        <v>6.42</v>
      </c>
      <c r="AP509" s="62" t="n">
        <v>22.5</v>
      </c>
      <c r="AQ509" s="62" t="n">
        <v>295</v>
      </c>
      <c r="AR509" s="62" t="n">
        <f aca="false">0.55*AQ509</f>
        <v>162.25</v>
      </c>
      <c r="AS509" s="58" t="n">
        <v>0</v>
      </c>
      <c r="AT509" s="62" t="n">
        <v>8.23</v>
      </c>
      <c r="AU509" s="62" t="n">
        <v>22.8</v>
      </c>
      <c r="AV509" s="62" t="n">
        <v>447.6</v>
      </c>
      <c r="AW509" s="62" t="n">
        <f aca="false">0.55*AV509</f>
        <v>246.18</v>
      </c>
      <c r="AX509" s="62" t="n">
        <v>1</v>
      </c>
      <c r="AY509" s="58" t="n">
        <v>0</v>
      </c>
    </row>
    <row r="510" customFormat="false" ht="15" hidden="false" customHeight="false" outlineLevel="0" collapsed="false">
      <c r="A510" s="16" t="s">
        <v>144</v>
      </c>
      <c r="B510" s="2" t="s">
        <v>52</v>
      </c>
      <c r="C510" s="29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</row>
    <row r="511" customFormat="false" ht="15" hidden="false" customHeight="false" outlineLevel="0" collapsed="false">
      <c r="A511" s="16" t="s">
        <v>144</v>
      </c>
      <c r="B511" s="2" t="s">
        <v>57</v>
      </c>
      <c r="C511" s="29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</row>
    <row r="512" customFormat="false" ht="16.15" hidden="false" customHeight="false" outlineLevel="0" collapsed="false">
      <c r="A512" s="16" t="s">
        <v>145</v>
      </c>
      <c r="B512" s="2" t="s">
        <v>51</v>
      </c>
      <c r="C512" s="61" t="n">
        <v>8.04</v>
      </c>
      <c r="D512" s="62" t="n">
        <v>24.1</v>
      </c>
      <c r="E512" s="62" t="n">
        <v>54.1</v>
      </c>
      <c r="F512" s="62" t="n">
        <f aca="false">E512*0.7</f>
        <v>37.87</v>
      </c>
      <c r="G512" s="62" t="n">
        <v>0.25</v>
      </c>
      <c r="H512" s="62" t="n">
        <v>8.02</v>
      </c>
      <c r="I512" s="62" t="n">
        <v>22</v>
      </c>
      <c r="J512" s="63"/>
      <c r="K512" s="63"/>
      <c r="L512" s="62" t="n">
        <v>0.2</v>
      </c>
      <c r="M512" s="62" t="n">
        <v>8.03</v>
      </c>
      <c r="N512" s="62" t="n">
        <v>22</v>
      </c>
      <c r="O512" s="63"/>
      <c r="P512" s="63"/>
      <c r="Q512" s="62" t="n">
        <v>0.15</v>
      </c>
      <c r="R512" s="62" t="n">
        <v>8.03</v>
      </c>
      <c r="S512" s="62" t="n">
        <v>22</v>
      </c>
      <c r="T512" s="63"/>
      <c r="U512" s="63"/>
      <c r="V512" s="58" t="n">
        <v>0</v>
      </c>
      <c r="W512" s="62" t="n">
        <v>8.01</v>
      </c>
      <c r="X512" s="62" t="n">
        <v>21.8</v>
      </c>
      <c r="Y512" s="63"/>
      <c r="Z512" s="63"/>
      <c r="AA512" s="58" t="n">
        <v>0</v>
      </c>
      <c r="AB512" s="62" t="n">
        <v>8</v>
      </c>
      <c r="AC512" s="62" t="n">
        <v>22.2</v>
      </c>
      <c r="AD512" s="62" t="n">
        <v>53.3</v>
      </c>
      <c r="AE512" s="62" t="n">
        <f aca="false">AD512*0.7</f>
        <v>37.31</v>
      </c>
      <c r="AF512" s="62"/>
      <c r="AG512" s="58" t="n">
        <v>0</v>
      </c>
      <c r="AH512" s="62"/>
      <c r="AI512" s="62" t="n">
        <v>8</v>
      </c>
      <c r="AJ512" s="62" t="n">
        <v>22.2</v>
      </c>
      <c r="AK512" s="62" t="n">
        <v>53.6</v>
      </c>
      <c r="AL512" s="62" t="n">
        <f aca="false">AK512*0.7</f>
        <v>37.52</v>
      </c>
      <c r="AM512" s="62"/>
      <c r="AN512" s="58" t="n">
        <v>0</v>
      </c>
      <c r="AO512" s="62" t="n">
        <v>6.36</v>
      </c>
      <c r="AP512" s="62" t="n">
        <v>22.4</v>
      </c>
      <c r="AQ512" s="62" t="n">
        <v>277</v>
      </c>
      <c r="AR512" s="62" t="n">
        <f aca="false">0.55*AQ512</f>
        <v>152.35</v>
      </c>
      <c r="AS512" s="58" t="n">
        <v>0</v>
      </c>
      <c r="AT512" s="62" t="n">
        <v>8.16</v>
      </c>
      <c r="AU512" s="62" t="n">
        <v>23.3</v>
      </c>
      <c r="AV512" s="62" t="n">
        <v>436.6</v>
      </c>
      <c r="AW512" s="62" t="n">
        <f aca="false">0.55*AV512</f>
        <v>240.13</v>
      </c>
      <c r="AX512" s="62" t="n">
        <v>1</v>
      </c>
      <c r="AY512" s="58" t="n">
        <v>0</v>
      </c>
    </row>
    <row r="513" customFormat="false" ht="15" hidden="false" customHeight="false" outlineLevel="0" collapsed="false">
      <c r="A513" s="16" t="s">
        <v>145</v>
      </c>
      <c r="B513" s="2" t="s">
        <v>52</v>
      </c>
      <c r="C513" s="29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</row>
    <row r="514" customFormat="false" ht="15" hidden="false" customHeight="false" outlineLevel="0" collapsed="false">
      <c r="A514" s="16" t="s">
        <v>145</v>
      </c>
      <c r="B514" s="2" t="s">
        <v>57</v>
      </c>
      <c r="C514" s="29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</row>
    <row r="515" customFormat="false" ht="16.15" hidden="false" customHeight="false" outlineLevel="0" collapsed="false">
      <c r="A515" s="16" t="s">
        <v>146</v>
      </c>
      <c r="B515" s="2" t="s">
        <v>51</v>
      </c>
      <c r="C515" s="61" t="n">
        <v>8.04</v>
      </c>
      <c r="D515" s="62" t="n">
        <v>23.2</v>
      </c>
      <c r="E515" s="62" t="n">
        <v>54</v>
      </c>
      <c r="F515" s="62" t="n">
        <f aca="false">E515*0.7</f>
        <v>37.8</v>
      </c>
      <c r="G515" s="62" t="n">
        <v>0.25</v>
      </c>
      <c r="H515" s="62" t="n">
        <v>8.03</v>
      </c>
      <c r="I515" s="62" t="n">
        <v>20.1</v>
      </c>
      <c r="J515" s="63"/>
      <c r="K515" s="63"/>
      <c r="L515" s="62" t="n">
        <v>0.5</v>
      </c>
      <c r="M515" s="62" t="n">
        <v>8.03</v>
      </c>
      <c r="N515" s="62" t="n">
        <v>20.1</v>
      </c>
      <c r="O515" s="63"/>
      <c r="P515" s="63"/>
      <c r="Q515" s="62" t="n">
        <v>0.44</v>
      </c>
      <c r="R515" s="62" t="n">
        <v>8.01</v>
      </c>
      <c r="S515" s="62" t="n">
        <v>20.5</v>
      </c>
      <c r="T515" s="63"/>
      <c r="U515" s="63"/>
      <c r="V515" s="58" t="n">
        <v>0</v>
      </c>
      <c r="W515" s="62" t="n">
        <v>8.01</v>
      </c>
      <c r="X515" s="62" t="n">
        <v>20.2</v>
      </c>
      <c r="Y515" s="63"/>
      <c r="Z515" s="63"/>
      <c r="AA515" s="58" t="n">
        <v>0</v>
      </c>
      <c r="AB515" s="62" t="n">
        <v>7.99</v>
      </c>
      <c r="AC515" s="62" t="n">
        <v>19.9</v>
      </c>
      <c r="AD515" s="62" t="n">
        <v>53.9</v>
      </c>
      <c r="AE515" s="62" t="n">
        <f aca="false">AD515*0.7</f>
        <v>37.73</v>
      </c>
      <c r="AF515" s="62"/>
      <c r="AG515" s="58" t="n">
        <v>0</v>
      </c>
      <c r="AH515" s="62"/>
      <c r="AI515" s="62" t="n">
        <v>7.99</v>
      </c>
      <c r="AJ515" s="62" t="n">
        <v>20.1</v>
      </c>
      <c r="AK515" s="62" t="n">
        <v>53.9</v>
      </c>
      <c r="AL515" s="62" t="n">
        <f aca="false">AK515*0.7</f>
        <v>37.73</v>
      </c>
      <c r="AM515" s="62"/>
      <c r="AN515" s="58" t="n">
        <v>0</v>
      </c>
      <c r="AO515" s="62" t="n">
        <v>6.28</v>
      </c>
      <c r="AP515" s="62" t="n">
        <v>20.6</v>
      </c>
      <c r="AQ515" s="62" t="n">
        <v>292</v>
      </c>
      <c r="AR515" s="62" t="n">
        <f aca="false">0.55*AQ515</f>
        <v>160.6</v>
      </c>
      <c r="AS515" s="58" t="n">
        <v>0</v>
      </c>
      <c r="AT515" s="62" t="n">
        <v>7.99</v>
      </c>
      <c r="AU515" s="62" t="n">
        <v>21.3</v>
      </c>
      <c r="AV515" s="62" t="n">
        <v>367</v>
      </c>
      <c r="AW515" s="62" t="n">
        <f aca="false">0.55*AV515</f>
        <v>201.85</v>
      </c>
      <c r="AX515" s="62" t="n">
        <v>1</v>
      </c>
      <c r="AY515" s="58" t="n">
        <v>0</v>
      </c>
    </row>
    <row r="516" customFormat="false" ht="16.15" hidden="false" customHeight="false" outlineLevel="0" collapsed="false">
      <c r="A516" s="16" t="s">
        <v>147</v>
      </c>
      <c r="B516" s="2" t="s">
        <v>51</v>
      </c>
      <c r="C516" s="61" t="n">
        <v>8.05</v>
      </c>
      <c r="D516" s="62" t="n">
        <v>25</v>
      </c>
      <c r="E516" s="62" t="n">
        <v>54.6</v>
      </c>
      <c r="F516" s="62" t="n">
        <f aca="false">E516*0.7</f>
        <v>38.22</v>
      </c>
      <c r="G516" s="62" t="n">
        <v>0.31</v>
      </c>
      <c r="H516" s="62" t="n">
        <v>8.04</v>
      </c>
      <c r="I516" s="62" t="n">
        <v>23.8</v>
      </c>
      <c r="J516" s="63"/>
      <c r="K516" s="63"/>
      <c r="L516" s="62" t="n">
        <v>0.5</v>
      </c>
      <c r="M516" s="62" t="n">
        <v>8.04</v>
      </c>
      <c r="N516" s="62" t="n">
        <v>23.8</v>
      </c>
      <c r="O516" s="63"/>
      <c r="P516" s="63"/>
      <c r="Q516" s="62" t="n">
        <v>0.9</v>
      </c>
      <c r="R516" s="62" t="n">
        <v>8.03</v>
      </c>
      <c r="S516" s="62" t="n">
        <v>23.7</v>
      </c>
      <c r="T516" s="63"/>
      <c r="U516" s="63"/>
      <c r="V516" s="58" t="n">
        <v>0</v>
      </c>
      <c r="W516" s="62" t="n">
        <v>8.03</v>
      </c>
      <c r="X516" s="62" t="n">
        <v>23.7</v>
      </c>
      <c r="Y516" s="63"/>
      <c r="Z516" s="63"/>
      <c r="AA516" s="58" t="n">
        <v>0</v>
      </c>
      <c r="AB516" s="62" t="n">
        <v>8</v>
      </c>
      <c r="AC516" s="62" t="n">
        <v>22.3</v>
      </c>
      <c r="AD516" s="62" t="n">
        <v>54</v>
      </c>
      <c r="AE516" s="62" t="n">
        <f aca="false">AD516*0.7</f>
        <v>37.8</v>
      </c>
      <c r="AF516" s="62"/>
      <c r="AG516" s="58" t="n">
        <v>0</v>
      </c>
      <c r="AH516" s="62"/>
      <c r="AI516" s="62" t="n">
        <v>8</v>
      </c>
      <c r="AJ516" s="62" t="n">
        <v>22.3</v>
      </c>
      <c r="AK516" s="62" t="n">
        <v>54</v>
      </c>
      <c r="AL516" s="62" t="n">
        <f aca="false">AK516*0.7</f>
        <v>37.8</v>
      </c>
      <c r="AM516" s="62"/>
      <c r="AN516" s="58" t="n">
        <v>0</v>
      </c>
      <c r="AO516" s="62" t="n">
        <v>6.27</v>
      </c>
      <c r="AP516" s="62" t="n">
        <v>22.4</v>
      </c>
      <c r="AQ516" s="62" t="n">
        <v>302</v>
      </c>
      <c r="AR516" s="62" t="n">
        <f aca="false">0.55*AQ516</f>
        <v>166.1</v>
      </c>
      <c r="AS516" s="58" t="n">
        <v>0</v>
      </c>
      <c r="AT516" s="62" t="n">
        <v>8.06</v>
      </c>
      <c r="AU516" s="62" t="n">
        <v>23.5</v>
      </c>
      <c r="AV516" s="62" t="n">
        <v>436</v>
      </c>
      <c r="AW516" s="62" t="n">
        <f aca="false">0.55*AV516</f>
        <v>239.8</v>
      </c>
      <c r="AX516" s="62" t="n">
        <v>1</v>
      </c>
      <c r="AY516" s="58" t="n">
        <v>0</v>
      </c>
    </row>
    <row r="517" customFormat="false" ht="15" hidden="false" customHeight="false" outlineLevel="0" collapsed="false">
      <c r="A517" s="16" t="s">
        <v>147</v>
      </c>
      <c r="B517" s="2" t="s">
        <v>52</v>
      </c>
      <c r="C517" s="29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</row>
    <row r="518" customFormat="false" ht="15" hidden="false" customHeight="false" outlineLevel="0" collapsed="false">
      <c r="A518" s="16" t="s">
        <v>147</v>
      </c>
      <c r="B518" s="2" t="s">
        <v>57</v>
      </c>
      <c r="C518" s="29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</row>
    <row r="519" customFormat="false" ht="16.15" hidden="false" customHeight="false" outlineLevel="0" collapsed="false">
      <c r="A519" s="16" t="s">
        <v>148</v>
      </c>
      <c r="B519" s="2" t="s">
        <v>51</v>
      </c>
      <c r="C519" s="61" t="n">
        <v>8.04</v>
      </c>
      <c r="D519" s="62" t="n">
        <v>0.25</v>
      </c>
      <c r="E519" s="62" t="n">
        <v>54</v>
      </c>
      <c r="F519" s="62" t="n">
        <f aca="false">E519*0.7</f>
        <v>37.8</v>
      </c>
      <c r="G519" s="62" t="n">
        <v>0.25</v>
      </c>
      <c r="H519" s="62" t="n">
        <v>8.03</v>
      </c>
      <c r="I519" s="62" t="n">
        <v>0.75</v>
      </c>
      <c r="J519" s="63"/>
      <c r="K519" s="63"/>
      <c r="L519" s="62" t="n">
        <v>0.75</v>
      </c>
      <c r="M519" s="62" t="n">
        <v>8.03</v>
      </c>
      <c r="N519" s="62" t="n">
        <v>0.48</v>
      </c>
      <c r="O519" s="63"/>
      <c r="P519" s="63"/>
      <c r="Q519" s="62" t="n">
        <v>0.48</v>
      </c>
      <c r="R519" s="62" t="n">
        <v>8.01</v>
      </c>
      <c r="S519" s="58" t="n">
        <v>0</v>
      </c>
      <c r="T519" s="63"/>
      <c r="U519" s="63"/>
      <c r="V519" s="58" t="n">
        <v>0</v>
      </c>
      <c r="W519" s="62" t="n">
        <v>8.01</v>
      </c>
      <c r="X519" s="58" t="n">
        <v>0</v>
      </c>
      <c r="Y519" s="63"/>
      <c r="Z519" s="63"/>
      <c r="AA519" s="58" t="n">
        <v>0</v>
      </c>
      <c r="AB519" s="62" t="n">
        <v>7.99</v>
      </c>
      <c r="AC519" s="58" t="n">
        <v>0</v>
      </c>
      <c r="AD519" s="62" t="n">
        <v>54</v>
      </c>
      <c r="AE519" s="62" t="n">
        <f aca="false">AD519*0.7</f>
        <v>37.8</v>
      </c>
      <c r="AF519" s="62"/>
      <c r="AG519" s="58" t="n">
        <v>0</v>
      </c>
      <c r="AH519" s="62"/>
      <c r="AI519" s="62" t="n">
        <v>7.99</v>
      </c>
      <c r="AJ519" s="58" t="n">
        <v>0</v>
      </c>
      <c r="AK519" s="62" t="n">
        <v>54</v>
      </c>
      <c r="AL519" s="62" t="n">
        <f aca="false">AK519*0.7</f>
        <v>37.8</v>
      </c>
      <c r="AM519" s="62"/>
      <c r="AN519" s="58" t="n">
        <v>0</v>
      </c>
      <c r="AO519" s="62" t="n">
        <v>6.39</v>
      </c>
      <c r="AP519" s="58" t="n">
        <v>0</v>
      </c>
      <c r="AQ519" s="62" t="n">
        <v>310</v>
      </c>
      <c r="AR519" s="62" t="n">
        <f aca="false">0.55*AQ519</f>
        <v>170.5</v>
      </c>
      <c r="AS519" s="58" t="n">
        <v>0</v>
      </c>
      <c r="AT519" s="62" t="n">
        <v>8.08</v>
      </c>
      <c r="AU519" s="58" t="n">
        <v>0</v>
      </c>
      <c r="AV519" s="62" t="n">
        <v>466</v>
      </c>
      <c r="AW519" s="62" t="n">
        <f aca="false">0.55*AV519</f>
        <v>256.3</v>
      </c>
      <c r="AX519" s="62" t="n">
        <v>1</v>
      </c>
      <c r="AY519" s="58" t="n">
        <v>0</v>
      </c>
    </row>
    <row r="520" customFormat="false" ht="16.15" hidden="false" customHeight="false" outlineLevel="0" collapsed="false">
      <c r="A520" s="16" t="n">
        <v>45298</v>
      </c>
      <c r="B520" s="2" t="s">
        <v>51</v>
      </c>
      <c r="C520" s="61" t="n">
        <v>8.03</v>
      </c>
      <c r="D520" s="62" t="n">
        <v>24.8</v>
      </c>
      <c r="E520" s="62" t="n">
        <v>54</v>
      </c>
      <c r="F520" s="62" t="n">
        <f aca="false">E520*0.7</f>
        <v>37.8</v>
      </c>
      <c r="G520" s="62" t="n">
        <v>0.25</v>
      </c>
      <c r="H520" s="62" t="n">
        <v>8.01</v>
      </c>
      <c r="I520" s="62" t="n">
        <v>23.2</v>
      </c>
      <c r="J520" s="63"/>
      <c r="K520" s="63"/>
      <c r="L520" s="62" t="n">
        <v>0.7</v>
      </c>
      <c r="M520" s="62" t="n">
        <v>8.01</v>
      </c>
      <c r="N520" s="62" t="n">
        <v>23.2</v>
      </c>
      <c r="O520" s="63"/>
      <c r="P520" s="63"/>
      <c r="Q520" s="62" t="n">
        <v>0.43</v>
      </c>
      <c r="R520" s="62" t="n">
        <v>8</v>
      </c>
      <c r="S520" s="62" t="n">
        <v>23.1</v>
      </c>
      <c r="T520" s="63"/>
      <c r="U520" s="63"/>
      <c r="V520" s="58" t="n">
        <v>0</v>
      </c>
      <c r="W520" s="62" t="n">
        <v>8</v>
      </c>
      <c r="X520" s="62" t="n">
        <v>23</v>
      </c>
      <c r="Y520" s="63"/>
      <c r="Z520" s="63"/>
      <c r="AA520" s="58" t="n">
        <v>0</v>
      </c>
      <c r="AB520" s="62" t="n">
        <v>7.99</v>
      </c>
      <c r="AC520" s="62" t="n">
        <v>23.1</v>
      </c>
      <c r="AD520" s="62" t="n">
        <v>53.8</v>
      </c>
      <c r="AE520" s="62" t="n">
        <f aca="false">AD520*0.7</f>
        <v>37.66</v>
      </c>
      <c r="AF520" s="62"/>
      <c r="AG520" s="58" t="n">
        <v>0</v>
      </c>
      <c r="AH520" s="62"/>
      <c r="AI520" s="62" t="n">
        <v>7.99</v>
      </c>
      <c r="AJ520" s="62" t="n">
        <v>23.1</v>
      </c>
      <c r="AK520" s="62" t="n">
        <v>53.8</v>
      </c>
      <c r="AL520" s="62" t="n">
        <f aca="false">AK520*0.7</f>
        <v>37.66</v>
      </c>
      <c r="AM520" s="62"/>
      <c r="AN520" s="58" t="n">
        <v>0</v>
      </c>
      <c r="AO520" s="62" t="n">
        <v>6.34</v>
      </c>
      <c r="AP520" s="62" t="n">
        <v>6.34</v>
      </c>
      <c r="AQ520" s="62" t="n">
        <v>340</v>
      </c>
      <c r="AR520" s="62" t="n">
        <f aca="false">AQ520*0.55</f>
        <v>187</v>
      </c>
      <c r="AS520" s="58" t="n">
        <v>0</v>
      </c>
      <c r="AT520" s="62" t="n">
        <v>7.99</v>
      </c>
      <c r="AU520" s="62" t="n">
        <v>24.4</v>
      </c>
      <c r="AV520" s="62" t="n">
        <v>461</v>
      </c>
      <c r="AW520" s="62" t="n">
        <f aca="false">AV520*0.55</f>
        <v>253.55</v>
      </c>
      <c r="AX520" s="62" t="n">
        <v>1</v>
      </c>
      <c r="AY520" s="58" t="n">
        <v>0</v>
      </c>
    </row>
    <row r="521" customFormat="false" ht="15" hidden="false" customHeight="false" outlineLevel="0" collapsed="false">
      <c r="A521" s="16" t="n">
        <v>45298</v>
      </c>
      <c r="B521" s="2" t="s">
        <v>52</v>
      </c>
      <c r="C521" s="29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</row>
    <row r="522" customFormat="false" ht="15" hidden="false" customHeight="false" outlineLevel="0" collapsed="false">
      <c r="A522" s="16" t="n">
        <v>45298</v>
      </c>
      <c r="B522" s="2" t="s">
        <v>57</v>
      </c>
      <c r="C522" s="29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</row>
    <row r="523" customFormat="false" ht="16.15" hidden="false" customHeight="false" outlineLevel="0" collapsed="false">
      <c r="A523" s="16" t="n">
        <v>45329</v>
      </c>
      <c r="B523" s="2" t="s">
        <v>51</v>
      </c>
      <c r="C523" s="61" t="n">
        <v>8.03</v>
      </c>
      <c r="D523" s="62" t="n">
        <v>24.7</v>
      </c>
      <c r="E523" s="62" t="n">
        <v>54.2</v>
      </c>
      <c r="F523" s="62" t="n">
        <f aca="false">E523*0.7</f>
        <v>37.94</v>
      </c>
      <c r="G523" s="62" t="n">
        <v>0.35</v>
      </c>
      <c r="H523" s="62" t="n">
        <v>8.02</v>
      </c>
      <c r="I523" s="62" t="n">
        <v>24.2</v>
      </c>
      <c r="J523" s="63"/>
      <c r="K523" s="63"/>
      <c r="L523" s="62" t="n">
        <v>0.32</v>
      </c>
      <c r="M523" s="62" t="n">
        <v>8.02</v>
      </c>
      <c r="N523" s="62" t="n">
        <v>24.2</v>
      </c>
      <c r="O523" s="63"/>
      <c r="P523" s="63"/>
      <c r="Q523" s="62" t="n">
        <v>0.3</v>
      </c>
      <c r="R523" s="62" t="n">
        <v>8</v>
      </c>
      <c r="S523" s="62" t="n">
        <v>24.1</v>
      </c>
      <c r="T523" s="63"/>
      <c r="U523" s="63"/>
      <c r="V523" s="58" t="n">
        <v>0</v>
      </c>
      <c r="W523" s="62" t="n">
        <v>8</v>
      </c>
      <c r="X523" s="62" t="n">
        <v>24.1</v>
      </c>
      <c r="Y523" s="63"/>
      <c r="Z523" s="63"/>
      <c r="AA523" s="58" t="n">
        <v>0</v>
      </c>
      <c r="AB523" s="62" t="n">
        <v>7.99</v>
      </c>
      <c r="AC523" s="62" t="n">
        <v>24.1</v>
      </c>
      <c r="AD523" s="62" t="n">
        <v>54.1</v>
      </c>
      <c r="AE523" s="62" t="n">
        <f aca="false">AD523*0.7</f>
        <v>37.87</v>
      </c>
      <c r="AF523" s="62"/>
      <c r="AG523" s="58" t="n">
        <v>0</v>
      </c>
      <c r="AH523" s="62"/>
      <c r="AI523" s="62" t="n">
        <v>7.99</v>
      </c>
      <c r="AJ523" s="62" t="n">
        <v>23.9</v>
      </c>
      <c r="AK523" s="62" t="n">
        <v>54.1</v>
      </c>
      <c r="AL523" s="62" t="n">
        <f aca="false">AK523*0.7</f>
        <v>37.87</v>
      </c>
      <c r="AM523" s="62"/>
      <c r="AN523" s="58" t="n">
        <v>0</v>
      </c>
      <c r="AO523" s="62" t="n">
        <v>6.35</v>
      </c>
      <c r="AP523" s="62" t="n">
        <v>23.9</v>
      </c>
      <c r="AQ523" s="62" t="n">
        <v>398</v>
      </c>
      <c r="AR523" s="62" t="n">
        <f aca="false">AQ523*0.55</f>
        <v>218.9</v>
      </c>
      <c r="AS523" s="58" t="n">
        <v>0</v>
      </c>
      <c r="AT523" s="62" t="n">
        <v>8.45</v>
      </c>
      <c r="AU523" s="62" t="n">
        <v>24.7</v>
      </c>
      <c r="AV523" s="62" t="n">
        <v>505</v>
      </c>
      <c r="AW523" s="62" t="n">
        <f aca="false">AV523*0.55</f>
        <v>277.75</v>
      </c>
      <c r="AX523" s="62" t="n">
        <v>0.8</v>
      </c>
      <c r="AY523" s="58" t="n">
        <v>0</v>
      </c>
    </row>
    <row r="524" customFormat="false" ht="15" hidden="false" customHeight="false" outlineLevel="0" collapsed="false">
      <c r="A524" s="16" t="n">
        <v>45329</v>
      </c>
      <c r="B524" s="2" t="s">
        <v>52</v>
      </c>
      <c r="C524" s="29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</row>
    <row r="525" customFormat="false" ht="15" hidden="false" customHeight="false" outlineLevel="0" collapsed="false">
      <c r="A525" s="16" t="n">
        <v>45329</v>
      </c>
      <c r="B525" s="2" t="s">
        <v>57</v>
      </c>
      <c r="C525" s="29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</row>
    <row r="526" customFormat="false" ht="16.15" hidden="false" customHeight="false" outlineLevel="0" collapsed="false">
      <c r="A526" s="16" t="n">
        <v>45358</v>
      </c>
      <c r="B526" s="2" t="s">
        <v>51</v>
      </c>
      <c r="C526" s="61" t="n">
        <v>8.01</v>
      </c>
      <c r="D526" s="62" t="n">
        <v>24.9</v>
      </c>
      <c r="E526" s="62" t="n">
        <v>54.2</v>
      </c>
      <c r="F526" s="62" t="n">
        <f aca="false">E526*0.7</f>
        <v>37.94</v>
      </c>
      <c r="G526" s="62" t="n">
        <v>0.13</v>
      </c>
      <c r="H526" s="62" t="n">
        <v>8</v>
      </c>
      <c r="I526" s="62" t="n">
        <v>25</v>
      </c>
      <c r="J526" s="63"/>
      <c r="K526" s="63"/>
      <c r="L526" s="62" t="n">
        <v>0.25</v>
      </c>
      <c r="M526" s="62" t="n">
        <v>8</v>
      </c>
      <c r="N526" s="62" t="n">
        <v>25</v>
      </c>
      <c r="O526" s="63"/>
      <c r="P526" s="63"/>
      <c r="Q526" s="62" t="n">
        <v>0.53</v>
      </c>
      <c r="R526" s="62" t="n">
        <v>8</v>
      </c>
      <c r="S526" s="62" t="n">
        <v>22.3</v>
      </c>
      <c r="T526" s="63"/>
      <c r="U526" s="63"/>
      <c r="V526" s="58" t="n">
        <v>0</v>
      </c>
      <c r="W526" s="62" t="n">
        <v>7.99</v>
      </c>
      <c r="X526" s="62" t="n">
        <v>22.3</v>
      </c>
      <c r="Y526" s="63"/>
      <c r="Z526" s="63"/>
      <c r="AA526" s="58" t="n">
        <v>0</v>
      </c>
      <c r="AB526" s="62" t="n">
        <v>7.97</v>
      </c>
      <c r="AC526" s="62" t="n">
        <v>23.8</v>
      </c>
      <c r="AD526" s="62" t="n">
        <v>54.1</v>
      </c>
      <c r="AE526" s="62" t="n">
        <f aca="false">AD526*0.7</f>
        <v>37.87</v>
      </c>
      <c r="AF526" s="62"/>
      <c r="AG526" s="58" t="n">
        <v>0</v>
      </c>
      <c r="AH526" s="62"/>
      <c r="AI526" s="62" t="n">
        <v>7.97</v>
      </c>
      <c r="AJ526" s="62" t="n">
        <v>23.8</v>
      </c>
      <c r="AK526" s="62" t="n">
        <v>54.1</v>
      </c>
      <c r="AL526" s="62" t="n">
        <f aca="false">AK526*0.7</f>
        <v>37.87</v>
      </c>
      <c r="AM526" s="62"/>
      <c r="AN526" s="58" t="n">
        <v>0</v>
      </c>
      <c r="AO526" s="62" t="n">
        <v>6.3</v>
      </c>
      <c r="AP526" s="62" t="n">
        <v>24</v>
      </c>
      <c r="AQ526" s="62" t="n">
        <v>352.5</v>
      </c>
      <c r="AR526" s="62" t="n">
        <f aca="false">0.55*AQ526</f>
        <v>193.875</v>
      </c>
      <c r="AS526" s="58" t="n">
        <v>0</v>
      </c>
      <c r="AT526" s="62" t="n">
        <v>8.18</v>
      </c>
      <c r="AU526" s="62" t="n">
        <v>25</v>
      </c>
      <c r="AV526" s="62" t="n">
        <v>500</v>
      </c>
      <c r="AW526" s="62" t="n">
        <f aca="false">0.55*AV526</f>
        <v>275</v>
      </c>
      <c r="AX526" s="62" t="n">
        <v>1</v>
      </c>
      <c r="AY526" s="58" t="n">
        <v>0</v>
      </c>
    </row>
    <row r="527" customFormat="false" ht="15" hidden="false" customHeight="false" outlineLevel="0" collapsed="false">
      <c r="A527" s="16" t="n">
        <v>45358</v>
      </c>
      <c r="B527" s="2" t="s">
        <v>52</v>
      </c>
      <c r="C527" s="29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</row>
    <row r="528" customFormat="false" ht="15" hidden="false" customHeight="false" outlineLevel="0" collapsed="false">
      <c r="A528" s="16" t="n">
        <v>45358</v>
      </c>
      <c r="B528" s="2" t="s">
        <v>57</v>
      </c>
      <c r="C528" s="29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</row>
    <row r="529" customFormat="false" ht="16.15" hidden="false" customHeight="false" outlineLevel="0" collapsed="false">
      <c r="A529" s="16" t="n">
        <v>45389</v>
      </c>
      <c r="B529" s="2" t="s">
        <v>51</v>
      </c>
      <c r="C529" s="61" t="n">
        <v>8.03</v>
      </c>
      <c r="D529" s="62" t="n">
        <v>24.1</v>
      </c>
      <c r="E529" s="62" t="n">
        <v>54</v>
      </c>
      <c r="F529" s="62" t="n">
        <f aca="false">E529*0.7</f>
        <v>37.8</v>
      </c>
      <c r="G529" s="62" t="n">
        <v>0.25</v>
      </c>
      <c r="H529" s="62" t="n">
        <v>8.01</v>
      </c>
      <c r="I529" s="62" t="n">
        <v>23.7</v>
      </c>
      <c r="J529" s="63"/>
      <c r="K529" s="63"/>
      <c r="L529" s="62" t="n">
        <v>0.39</v>
      </c>
      <c r="M529" s="62" t="n">
        <v>8.01</v>
      </c>
      <c r="N529" s="62" t="n">
        <v>23.6</v>
      </c>
      <c r="O529" s="63"/>
      <c r="P529" s="63"/>
      <c r="Q529" s="62" t="n">
        <v>0.6</v>
      </c>
      <c r="R529" s="62" t="n">
        <v>8</v>
      </c>
      <c r="S529" s="62" t="n">
        <v>23.5</v>
      </c>
      <c r="T529" s="63"/>
      <c r="U529" s="63"/>
      <c r="V529" s="58" t="n">
        <v>0</v>
      </c>
      <c r="W529" s="62" t="n">
        <v>8</v>
      </c>
      <c r="X529" s="62" t="n">
        <v>23.3</v>
      </c>
      <c r="Y529" s="63"/>
      <c r="Z529" s="63"/>
      <c r="AA529" s="58" t="n">
        <v>0</v>
      </c>
      <c r="AB529" s="62" t="n">
        <v>7.96</v>
      </c>
      <c r="AC529" s="62" t="n">
        <v>23</v>
      </c>
      <c r="AD529" s="62" t="n">
        <v>54</v>
      </c>
      <c r="AE529" s="58" t="n">
        <f aca="false">AD529*0.7</f>
        <v>37.8</v>
      </c>
      <c r="AF529" s="62"/>
      <c r="AG529" s="58" t="n">
        <v>0</v>
      </c>
      <c r="AH529" s="62"/>
      <c r="AI529" s="62" t="n">
        <v>7.96</v>
      </c>
      <c r="AJ529" s="62" t="n">
        <v>23</v>
      </c>
      <c r="AK529" s="62" t="n">
        <v>53.9</v>
      </c>
      <c r="AL529" s="58" t="n">
        <f aca="false">AK529*0.7</f>
        <v>37.73</v>
      </c>
      <c r="AM529" s="62"/>
      <c r="AN529" s="58" t="n">
        <v>0</v>
      </c>
      <c r="AO529" s="62" t="n">
        <v>6.35</v>
      </c>
      <c r="AP529" s="62" t="n">
        <v>24.3</v>
      </c>
      <c r="AQ529" s="62" t="n">
        <v>338.5</v>
      </c>
      <c r="AR529" s="58" t="n">
        <f aca="false">0.55*AQ529</f>
        <v>186.175</v>
      </c>
      <c r="AS529" s="58" t="n">
        <v>0</v>
      </c>
      <c r="AT529" s="62" t="n">
        <v>8.48</v>
      </c>
      <c r="AU529" s="62" t="n">
        <v>24.5</v>
      </c>
      <c r="AV529" s="62" t="n">
        <v>496.7</v>
      </c>
      <c r="AW529" s="58" t="n">
        <f aca="false">0.55*AV529</f>
        <v>273.185</v>
      </c>
      <c r="AX529" s="62" t="n">
        <v>0.8</v>
      </c>
      <c r="AY529" s="58" t="n">
        <v>0</v>
      </c>
    </row>
    <row r="530" customFormat="false" ht="15" hidden="false" customHeight="false" outlineLevel="0" collapsed="false">
      <c r="A530" s="16" t="n">
        <v>45389</v>
      </c>
      <c r="B530" s="2" t="s">
        <v>52</v>
      </c>
      <c r="C530" s="29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</row>
    <row r="531" customFormat="false" ht="15" hidden="false" customHeight="false" outlineLevel="0" collapsed="false">
      <c r="A531" s="16" t="n">
        <v>45389</v>
      </c>
      <c r="B531" s="2" t="s">
        <v>57</v>
      </c>
      <c r="C531" s="29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</row>
    <row r="532" customFormat="false" ht="16.15" hidden="false" customHeight="false" outlineLevel="0" collapsed="false">
      <c r="A532" s="16" t="n">
        <v>45419</v>
      </c>
      <c r="B532" s="2" t="s">
        <v>51</v>
      </c>
      <c r="C532" s="61" t="n">
        <v>7.99</v>
      </c>
      <c r="D532" s="62" t="n">
        <v>23.1</v>
      </c>
      <c r="E532" s="62" t="n">
        <v>54.6</v>
      </c>
      <c r="F532" s="62" t="n">
        <f aca="false">E532*0.7</f>
        <v>38.22</v>
      </c>
      <c r="G532" s="62" t="n">
        <v>0.18</v>
      </c>
      <c r="H532" s="62" t="n">
        <v>7.97</v>
      </c>
      <c r="I532" s="62" t="n">
        <v>23</v>
      </c>
      <c r="J532" s="63"/>
      <c r="K532" s="63"/>
      <c r="L532" s="62" t="n">
        <v>0.29</v>
      </c>
      <c r="M532" s="62" t="n">
        <v>7.98</v>
      </c>
      <c r="N532" s="62" t="n">
        <v>23</v>
      </c>
      <c r="O532" s="63"/>
      <c r="P532" s="63"/>
      <c r="Q532" s="62" t="n">
        <v>0.42</v>
      </c>
      <c r="R532" s="62" t="n">
        <v>7.96</v>
      </c>
      <c r="S532" s="62" t="n">
        <v>22.9</v>
      </c>
      <c r="T532" s="63"/>
      <c r="U532" s="63"/>
      <c r="V532" s="58" t="n">
        <v>0</v>
      </c>
      <c r="W532" s="62" t="n">
        <v>7.96</v>
      </c>
      <c r="X532" s="62" t="n">
        <v>22.8</v>
      </c>
      <c r="Y532" s="63"/>
      <c r="Z532" s="63"/>
      <c r="AA532" s="58" t="n">
        <v>0</v>
      </c>
      <c r="AB532" s="62" t="n">
        <v>7.96</v>
      </c>
      <c r="AC532" s="62" t="n">
        <v>22.3</v>
      </c>
      <c r="AD532" s="62" t="n">
        <v>54.6</v>
      </c>
      <c r="AE532" s="58" t="n">
        <f aca="false">AD532*0.7</f>
        <v>38.22</v>
      </c>
      <c r="AF532" s="62"/>
      <c r="AG532" s="58" t="n">
        <v>0</v>
      </c>
      <c r="AH532" s="62"/>
      <c r="AI532" s="62" t="n">
        <v>7.97</v>
      </c>
      <c r="AJ532" s="62" t="n">
        <v>22.3</v>
      </c>
      <c r="AK532" s="62" t="n">
        <v>54.6</v>
      </c>
      <c r="AL532" s="58" t="n">
        <f aca="false">AK532*0.7</f>
        <v>38.22</v>
      </c>
      <c r="AM532" s="62"/>
      <c r="AN532" s="58" t="n">
        <v>0</v>
      </c>
      <c r="AO532" s="62" t="n">
        <v>6.6</v>
      </c>
      <c r="AP532" s="62" t="n">
        <v>22.6</v>
      </c>
      <c r="AQ532" s="62" t="n">
        <v>306.6</v>
      </c>
      <c r="AR532" s="58" t="n">
        <f aca="false">0.55*AQ532</f>
        <v>168.63</v>
      </c>
      <c r="AS532" s="58" t="n">
        <v>0</v>
      </c>
      <c r="AT532" s="62" t="n">
        <v>8.21</v>
      </c>
      <c r="AU532" s="62" t="n">
        <v>22.7</v>
      </c>
      <c r="AV532" s="62" t="n">
        <v>462.6</v>
      </c>
      <c r="AW532" s="58" t="n">
        <f aca="false">0.55*AV532</f>
        <v>254.43</v>
      </c>
      <c r="AX532" s="62" t="n">
        <v>1</v>
      </c>
      <c r="AY532" s="58" t="n">
        <v>0</v>
      </c>
    </row>
    <row r="533" customFormat="false" ht="15" hidden="false" customHeight="false" outlineLevel="0" collapsed="false">
      <c r="A533" s="16" t="n">
        <v>45419</v>
      </c>
      <c r="B533" s="2" t="s">
        <v>52</v>
      </c>
      <c r="C533" s="29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</row>
    <row r="534" customFormat="false" ht="15" hidden="false" customHeight="false" outlineLevel="0" collapsed="false">
      <c r="A534" s="16" t="n">
        <v>45419</v>
      </c>
      <c r="B534" s="2" t="s">
        <v>57</v>
      </c>
      <c r="C534" s="29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</row>
    <row r="535" customFormat="false" ht="16.15" hidden="false" customHeight="false" outlineLevel="0" collapsed="false">
      <c r="A535" s="16" t="n">
        <v>45450</v>
      </c>
      <c r="B535" s="2" t="s">
        <v>51</v>
      </c>
      <c r="C535" s="61" t="n">
        <v>7.99</v>
      </c>
      <c r="D535" s="62" t="n">
        <v>23.2</v>
      </c>
      <c r="E535" s="62" t="n">
        <v>54.6</v>
      </c>
      <c r="F535" s="62" t="n">
        <f aca="false">E535*0.7</f>
        <v>38.22</v>
      </c>
      <c r="G535" s="62" t="n">
        <v>0.18</v>
      </c>
      <c r="H535" s="62" t="n">
        <v>7.99</v>
      </c>
      <c r="I535" s="62" t="n">
        <v>22.9</v>
      </c>
      <c r="J535" s="63"/>
      <c r="K535" s="63"/>
      <c r="L535" s="62" t="n">
        <v>0.29</v>
      </c>
      <c r="M535" s="62" t="n">
        <v>7.98</v>
      </c>
      <c r="N535" s="62" t="n">
        <v>22.9</v>
      </c>
      <c r="O535" s="63"/>
      <c r="P535" s="63"/>
      <c r="Q535" s="62" t="n">
        <v>0.42</v>
      </c>
      <c r="R535" s="62" t="n">
        <v>7.98</v>
      </c>
      <c r="S535" s="62" t="n">
        <v>22.8</v>
      </c>
      <c r="T535" s="63"/>
      <c r="U535" s="63"/>
      <c r="V535" s="58" t="n">
        <v>0</v>
      </c>
      <c r="W535" s="62" t="n">
        <v>7.99</v>
      </c>
      <c r="X535" s="62" t="n">
        <v>22.8</v>
      </c>
      <c r="Y535" s="63"/>
      <c r="Z535" s="63"/>
      <c r="AA535" s="58" t="n">
        <v>0</v>
      </c>
      <c r="AB535" s="62" t="n">
        <v>7.99</v>
      </c>
      <c r="AC535" s="62" t="n">
        <v>22.2</v>
      </c>
      <c r="AD535" s="62" t="n">
        <v>54.6</v>
      </c>
      <c r="AE535" s="58" t="n">
        <f aca="false">AD535*0.7</f>
        <v>38.22</v>
      </c>
      <c r="AF535" s="62"/>
      <c r="AG535" s="58" t="n">
        <v>0</v>
      </c>
      <c r="AH535" s="62"/>
      <c r="AI535" s="62" t="n">
        <v>7.99</v>
      </c>
      <c r="AJ535" s="62" t="n">
        <v>22.2</v>
      </c>
      <c r="AK535" s="62" t="n">
        <v>54.6</v>
      </c>
      <c r="AL535" s="58" t="n">
        <f aca="false">AK535*0.7</f>
        <v>38.22</v>
      </c>
      <c r="AM535" s="62"/>
      <c r="AN535" s="58" t="n">
        <v>0</v>
      </c>
      <c r="AO535" s="62" t="n">
        <v>6.37</v>
      </c>
      <c r="AP535" s="62" t="n">
        <v>22.2</v>
      </c>
      <c r="AQ535" s="62" t="n">
        <v>306.6</v>
      </c>
      <c r="AR535" s="58" t="n">
        <f aca="false">0.55*AQ535</f>
        <v>168.63</v>
      </c>
      <c r="AS535" s="58" t="n">
        <v>0</v>
      </c>
      <c r="AT535" s="62" t="n">
        <v>8.12</v>
      </c>
      <c r="AU535" s="62" t="n">
        <v>22.5</v>
      </c>
      <c r="AV535" s="62" t="n">
        <v>415.7</v>
      </c>
      <c r="AW535" s="58" t="n">
        <f aca="false">AV535*0.55</f>
        <v>228.635</v>
      </c>
      <c r="AX535" s="62" t="n">
        <v>0.8</v>
      </c>
      <c r="AY535" s="58" t="n">
        <v>0</v>
      </c>
    </row>
    <row r="536" customFormat="false" ht="15" hidden="false" customHeight="false" outlineLevel="0" collapsed="false">
      <c r="A536" s="16" t="n">
        <v>45450</v>
      </c>
      <c r="B536" s="2" t="s">
        <v>52</v>
      </c>
      <c r="C536" s="29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</row>
    <row r="537" customFormat="false" ht="15" hidden="false" customHeight="false" outlineLevel="0" collapsed="false">
      <c r="A537" s="16" t="n">
        <v>45450</v>
      </c>
      <c r="B537" s="2" t="s">
        <v>57</v>
      </c>
      <c r="C537" s="29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</row>
    <row r="538" customFormat="false" ht="16.15" hidden="false" customHeight="false" outlineLevel="0" collapsed="false">
      <c r="A538" s="16" t="n">
        <v>45480</v>
      </c>
      <c r="B538" s="2" t="s">
        <v>51</v>
      </c>
      <c r="C538" s="61" t="n">
        <v>7.94</v>
      </c>
      <c r="D538" s="62" t="n">
        <v>23.3</v>
      </c>
      <c r="E538" s="62" t="n">
        <v>54.2</v>
      </c>
      <c r="F538" s="62" t="n">
        <f aca="false">E538*0.7</f>
        <v>37.94</v>
      </c>
      <c r="G538" s="62" t="n">
        <v>0.25</v>
      </c>
      <c r="H538" s="62" t="n">
        <v>7.96</v>
      </c>
      <c r="I538" s="62" t="n">
        <v>22.5</v>
      </c>
      <c r="J538" s="63"/>
      <c r="K538" s="63"/>
      <c r="L538" s="62" t="n">
        <v>0.47</v>
      </c>
      <c r="M538" s="62" t="n">
        <v>7.96</v>
      </c>
      <c r="N538" s="62" t="n">
        <v>22.4</v>
      </c>
      <c r="O538" s="63"/>
      <c r="P538" s="63"/>
      <c r="Q538" s="62" t="n">
        <v>0.4</v>
      </c>
      <c r="R538" s="62" t="n">
        <v>7.94</v>
      </c>
      <c r="S538" s="62" t="n">
        <v>22.6</v>
      </c>
      <c r="T538" s="63"/>
      <c r="U538" s="63"/>
      <c r="V538" s="58" t="n">
        <v>0</v>
      </c>
      <c r="W538" s="62" t="n">
        <v>7.94</v>
      </c>
      <c r="X538" s="62" t="n">
        <v>22.7</v>
      </c>
      <c r="Y538" s="63"/>
      <c r="Z538" s="63"/>
      <c r="AA538" s="58" t="n">
        <v>0</v>
      </c>
      <c r="AB538" s="62" t="n">
        <v>7.9</v>
      </c>
      <c r="AC538" s="62" t="n">
        <v>23.5</v>
      </c>
      <c r="AD538" s="62" t="n">
        <v>54</v>
      </c>
      <c r="AE538" s="58" t="n">
        <f aca="false">AD538*0.7</f>
        <v>37.8</v>
      </c>
      <c r="AF538" s="62"/>
      <c r="AG538" s="58" t="n">
        <v>0</v>
      </c>
      <c r="AH538" s="62"/>
      <c r="AI538" s="62" t="n">
        <v>7.9</v>
      </c>
      <c r="AJ538" s="62" t="n">
        <v>23.5</v>
      </c>
      <c r="AK538" s="62" t="n">
        <v>54</v>
      </c>
      <c r="AL538" s="58" t="n">
        <f aca="false">AK538*0.7</f>
        <v>37.8</v>
      </c>
      <c r="AM538" s="62"/>
      <c r="AN538" s="58" t="n">
        <v>0</v>
      </c>
      <c r="AO538" s="62" t="n">
        <v>6.45</v>
      </c>
      <c r="AP538" s="62" t="n">
        <v>23.6</v>
      </c>
      <c r="AQ538" s="62" t="n">
        <v>339.4</v>
      </c>
      <c r="AR538" s="58" t="n">
        <f aca="false">0.55*AQ538</f>
        <v>186.67</v>
      </c>
      <c r="AS538" s="58" t="n">
        <v>0</v>
      </c>
      <c r="AT538" s="62" t="n">
        <v>8.23</v>
      </c>
      <c r="AU538" s="62" t="n">
        <v>23</v>
      </c>
      <c r="AV538" s="62" t="n">
        <v>469</v>
      </c>
      <c r="AW538" s="58" t="n">
        <f aca="false">AV538*0.55</f>
        <v>257.95</v>
      </c>
      <c r="AX538" s="62" t="n">
        <v>1</v>
      </c>
      <c r="AY538" s="58" t="n">
        <v>0</v>
      </c>
    </row>
    <row r="539" customFormat="false" ht="15" hidden="false" customHeight="false" outlineLevel="0" collapsed="false">
      <c r="A539" s="16" t="n">
        <v>45480</v>
      </c>
      <c r="B539" s="2" t="s">
        <v>52</v>
      </c>
      <c r="C539" s="29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</row>
    <row r="540" customFormat="false" ht="15" hidden="false" customHeight="false" outlineLevel="0" collapsed="false">
      <c r="A540" s="16" t="n">
        <v>45480</v>
      </c>
      <c r="B540" s="2" t="s">
        <v>57</v>
      </c>
      <c r="C540" s="29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</row>
    <row r="541" customFormat="false" ht="16.15" hidden="false" customHeight="false" outlineLevel="0" collapsed="false">
      <c r="A541" s="16" t="n">
        <v>45511</v>
      </c>
      <c r="B541" s="2" t="s">
        <v>51</v>
      </c>
      <c r="C541" s="61" t="n">
        <v>7.97</v>
      </c>
      <c r="D541" s="62" t="n">
        <v>23.2</v>
      </c>
      <c r="E541" s="62" t="n">
        <v>54.2</v>
      </c>
      <c r="F541" s="62" t="n">
        <f aca="false">E541*0.7</f>
        <v>37.94</v>
      </c>
      <c r="G541" s="62" t="n">
        <v>0.25</v>
      </c>
      <c r="H541" s="62" t="n">
        <v>7.94</v>
      </c>
      <c r="I541" s="62" t="n">
        <v>22.8</v>
      </c>
      <c r="J541" s="63"/>
      <c r="K541" s="63"/>
      <c r="L541" s="62" t="n">
        <v>0.31</v>
      </c>
      <c r="M541" s="62" t="n">
        <v>7.95</v>
      </c>
      <c r="N541" s="62" t="n">
        <v>22.8</v>
      </c>
      <c r="O541" s="63"/>
      <c r="P541" s="63"/>
      <c r="Q541" s="62" t="n">
        <v>0.48</v>
      </c>
      <c r="R541" s="62" t="n">
        <v>7.93</v>
      </c>
      <c r="S541" s="62" t="n">
        <v>22.5</v>
      </c>
      <c r="T541" s="63"/>
      <c r="U541" s="63"/>
      <c r="V541" s="58" t="n">
        <v>0</v>
      </c>
      <c r="W541" s="62" t="n">
        <v>7.93</v>
      </c>
      <c r="X541" s="62" t="n">
        <v>22.5</v>
      </c>
      <c r="Y541" s="63"/>
      <c r="Z541" s="63"/>
      <c r="AA541" s="58" t="n">
        <v>0</v>
      </c>
      <c r="AB541" s="62" t="n">
        <v>7.93</v>
      </c>
      <c r="AC541" s="62" t="n">
        <v>23.1</v>
      </c>
      <c r="AD541" s="62" t="n">
        <v>54</v>
      </c>
      <c r="AE541" s="58" t="n">
        <f aca="false">AD541*0.7</f>
        <v>37.8</v>
      </c>
      <c r="AF541" s="62"/>
      <c r="AG541" s="58" t="n">
        <v>0</v>
      </c>
      <c r="AH541" s="62"/>
      <c r="AI541" s="62" t="n">
        <v>7.92</v>
      </c>
      <c r="AJ541" s="62" t="n">
        <v>23.1</v>
      </c>
      <c r="AK541" s="62" t="n">
        <v>54</v>
      </c>
      <c r="AL541" s="58" t="n">
        <f aca="false">AK541*0.7</f>
        <v>37.8</v>
      </c>
      <c r="AM541" s="62"/>
      <c r="AN541" s="58" t="n">
        <v>0</v>
      </c>
      <c r="AO541" s="62" t="n">
        <v>6.48</v>
      </c>
      <c r="AP541" s="62" t="n">
        <v>23.5</v>
      </c>
      <c r="AQ541" s="62" t="n">
        <v>436.9</v>
      </c>
      <c r="AR541" s="58" t="n">
        <f aca="false">0.55*AQ541</f>
        <v>240.295</v>
      </c>
      <c r="AS541" s="58" t="n">
        <v>0</v>
      </c>
      <c r="AT541" s="62" t="n">
        <v>8</v>
      </c>
      <c r="AU541" s="62" t="n">
        <v>24.7</v>
      </c>
      <c r="AV541" s="62" t="n">
        <v>447.7</v>
      </c>
      <c r="AW541" s="58" t="n">
        <f aca="false">AV541*0.55</f>
        <v>246.235</v>
      </c>
      <c r="AX541" s="62" t="n">
        <v>0.8</v>
      </c>
      <c r="AY541" s="58" t="n">
        <v>0</v>
      </c>
    </row>
    <row r="542" customFormat="false" ht="15" hidden="false" customHeight="false" outlineLevel="0" collapsed="false">
      <c r="A542" s="16" t="n">
        <v>45511</v>
      </c>
      <c r="B542" s="2" t="s">
        <v>52</v>
      </c>
      <c r="C542" s="29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</row>
    <row r="543" customFormat="false" ht="15" hidden="false" customHeight="false" outlineLevel="0" collapsed="false">
      <c r="A543" s="16" t="n">
        <v>45511</v>
      </c>
      <c r="B543" s="2" t="s">
        <v>57</v>
      </c>
      <c r="C543" s="29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</row>
    <row r="544" customFormat="false" ht="16.15" hidden="false" customHeight="false" outlineLevel="0" collapsed="false">
      <c r="A544" s="16" t="n">
        <v>45542</v>
      </c>
      <c r="B544" s="2" t="s">
        <v>51</v>
      </c>
      <c r="C544" s="61" t="n">
        <v>8.01</v>
      </c>
      <c r="D544" s="62" t="n">
        <v>25.5</v>
      </c>
      <c r="E544" s="62" t="n">
        <v>55.3</v>
      </c>
      <c r="F544" s="62" t="n">
        <f aca="false">E544*0.7</f>
        <v>38.71</v>
      </c>
      <c r="G544" s="62" t="n">
        <v>55.3</v>
      </c>
      <c r="H544" s="62" t="n">
        <v>7.99</v>
      </c>
      <c r="I544" s="62" t="n">
        <v>23.7</v>
      </c>
      <c r="J544" s="63"/>
      <c r="K544" s="63"/>
      <c r="L544" s="62" t="n">
        <v>0.35</v>
      </c>
      <c r="M544" s="62" t="n">
        <v>7.99</v>
      </c>
      <c r="N544" s="62" t="n">
        <v>23.7</v>
      </c>
      <c r="O544" s="63"/>
      <c r="P544" s="63"/>
      <c r="Q544" s="62" t="n">
        <v>0.4</v>
      </c>
      <c r="R544" s="62" t="n">
        <v>7.96</v>
      </c>
      <c r="S544" s="62" t="n">
        <v>23.4</v>
      </c>
      <c r="T544" s="63"/>
      <c r="U544" s="63"/>
      <c r="V544" s="58" t="n">
        <v>0</v>
      </c>
      <c r="W544" s="62" t="n">
        <v>7.96</v>
      </c>
      <c r="X544" s="62" t="n">
        <v>23.4</v>
      </c>
      <c r="Y544" s="63"/>
      <c r="Z544" s="63"/>
      <c r="AA544" s="58" t="n">
        <v>0</v>
      </c>
      <c r="AB544" s="62" t="n">
        <v>7.94</v>
      </c>
      <c r="AC544" s="62" t="n">
        <v>23.1</v>
      </c>
      <c r="AD544" s="62" t="n">
        <v>54.5</v>
      </c>
      <c r="AE544" s="58" t="n">
        <f aca="false">AD544*0.7</f>
        <v>38.15</v>
      </c>
      <c r="AF544" s="62"/>
      <c r="AG544" s="58" t="n">
        <v>0</v>
      </c>
      <c r="AH544" s="62"/>
      <c r="AI544" s="62" t="n">
        <v>7.94</v>
      </c>
      <c r="AJ544" s="62" t="n">
        <v>23.2</v>
      </c>
      <c r="AK544" s="62" t="n">
        <v>54.5</v>
      </c>
      <c r="AL544" s="58" t="n">
        <f aca="false">AK544*0.7</f>
        <v>38.15</v>
      </c>
      <c r="AM544" s="62"/>
      <c r="AN544" s="58" t="n">
        <v>0</v>
      </c>
      <c r="AO544" s="62" t="n">
        <v>6.35</v>
      </c>
      <c r="AP544" s="62" t="n">
        <v>23.6</v>
      </c>
      <c r="AQ544" s="62" t="n">
        <v>345</v>
      </c>
      <c r="AR544" s="58" t="n">
        <f aca="false">0.55*AQ544</f>
        <v>189.75</v>
      </c>
      <c r="AS544" s="58" t="n">
        <v>0</v>
      </c>
      <c r="AT544" s="62" t="n">
        <v>8.13</v>
      </c>
      <c r="AU544" s="62" t="n">
        <v>23.8</v>
      </c>
      <c r="AV544" s="62" t="n">
        <v>422</v>
      </c>
      <c r="AW544" s="58" t="n">
        <f aca="false">AV544*0.55</f>
        <v>232.1</v>
      </c>
      <c r="AX544" s="62"/>
      <c r="AY544" s="58" t="n">
        <v>0</v>
      </c>
    </row>
    <row r="545" customFormat="false" ht="15" hidden="false" customHeight="false" outlineLevel="0" collapsed="false">
      <c r="A545" s="16" t="n">
        <v>45542</v>
      </c>
      <c r="B545" s="2" t="s">
        <v>52</v>
      </c>
      <c r="C545" s="29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</row>
    <row r="546" customFormat="false" ht="15" hidden="false" customHeight="false" outlineLevel="0" collapsed="false">
      <c r="A546" s="16" t="n">
        <v>45542</v>
      </c>
      <c r="B546" s="2" t="s">
        <v>57</v>
      </c>
      <c r="C546" s="29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</row>
    <row r="547" customFormat="false" ht="16.15" hidden="false" customHeight="false" outlineLevel="0" collapsed="false">
      <c r="A547" s="16" t="n">
        <v>45572</v>
      </c>
      <c r="B547" s="2" t="s">
        <v>51</v>
      </c>
      <c r="C547" s="61" t="n">
        <v>8.02</v>
      </c>
      <c r="D547" s="62" t="n">
        <v>24.9</v>
      </c>
      <c r="E547" s="62" t="n">
        <v>54</v>
      </c>
      <c r="F547" s="62" t="n">
        <f aca="false">E547*0.7</f>
        <v>37.8</v>
      </c>
      <c r="G547" s="62" t="n">
        <v>0.25</v>
      </c>
      <c r="H547" s="62" t="n">
        <v>8</v>
      </c>
      <c r="I547" s="62" t="n">
        <v>23.6</v>
      </c>
      <c r="J547" s="63"/>
      <c r="K547" s="63"/>
      <c r="L547" s="62" t="n">
        <v>0.35</v>
      </c>
      <c r="M547" s="62" t="n">
        <v>8</v>
      </c>
      <c r="N547" s="62" t="n">
        <v>23.7</v>
      </c>
      <c r="O547" s="63"/>
      <c r="P547" s="63"/>
      <c r="Q547" s="62" t="n">
        <v>0.45</v>
      </c>
      <c r="R547" s="62" t="n">
        <v>7.99</v>
      </c>
      <c r="S547" s="62" t="n">
        <v>23.7</v>
      </c>
      <c r="T547" s="63"/>
      <c r="U547" s="63"/>
      <c r="V547" s="58" t="n">
        <v>0</v>
      </c>
      <c r="W547" s="62" t="n">
        <v>7.99</v>
      </c>
      <c r="X547" s="62" t="n">
        <v>23.7</v>
      </c>
      <c r="Y547" s="63"/>
      <c r="Z547" s="63"/>
      <c r="AA547" s="58" t="n">
        <v>0</v>
      </c>
      <c r="AB547" s="62" t="n">
        <v>7.97</v>
      </c>
      <c r="AC547" s="62" t="n">
        <v>23.4</v>
      </c>
      <c r="AD547" s="62" t="n">
        <v>54</v>
      </c>
      <c r="AE547" s="58" t="n">
        <f aca="false">AD547*0.7</f>
        <v>37.8</v>
      </c>
      <c r="AF547" s="62"/>
      <c r="AG547" s="58" t="n">
        <v>0</v>
      </c>
      <c r="AH547" s="62"/>
      <c r="AI547" s="62" t="n">
        <v>7.97</v>
      </c>
      <c r="AJ547" s="62" t="n">
        <v>23.4</v>
      </c>
      <c r="AK547" s="62" t="n">
        <v>54</v>
      </c>
      <c r="AL547" s="58" t="n">
        <f aca="false">AK547*0.7</f>
        <v>37.8</v>
      </c>
      <c r="AM547" s="62"/>
      <c r="AN547" s="58" t="n">
        <v>0</v>
      </c>
      <c r="AO547" s="62" t="n">
        <v>6.4</v>
      </c>
      <c r="AP547" s="62" t="n">
        <v>23.5</v>
      </c>
      <c r="AQ547" s="62" t="n">
        <v>328</v>
      </c>
      <c r="AR547" s="58" t="n">
        <f aca="false">0.55*AQ547</f>
        <v>180.4</v>
      </c>
      <c r="AS547" s="58" t="n">
        <v>0</v>
      </c>
      <c r="AT547" s="62" t="n">
        <v>8.09</v>
      </c>
      <c r="AU547" s="62" t="n">
        <v>23.9</v>
      </c>
      <c r="AV547" s="62" t="n">
        <v>475</v>
      </c>
      <c r="AW547" s="58" t="n">
        <f aca="false">AV547*0.55</f>
        <v>261.25</v>
      </c>
      <c r="AX547" s="62" t="n">
        <v>0.9</v>
      </c>
      <c r="AY547" s="58" t="n">
        <v>0</v>
      </c>
    </row>
    <row r="548" customFormat="false" ht="15" hidden="false" customHeight="false" outlineLevel="0" collapsed="false">
      <c r="A548" s="16" t="n">
        <v>45572</v>
      </c>
      <c r="B548" s="2" t="s">
        <v>52</v>
      </c>
      <c r="C548" s="29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</row>
    <row r="549" customFormat="false" ht="15" hidden="false" customHeight="false" outlineLevel="0" collapsed="false">
      <c r="A549" s="16" t="n">
        <v>45572</v>
      </c>
      <c r="B549" s="2" t="s">
        <v>57</v>
      </c>
      <c r="C549" s="29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</row>
    <row r="550" customFormat="false" ht="16.15" hidden="false" customHeight="false" outlineLevel="0" collapsed="false">
      <c r="A550" s="16" t="n">
        <v>45603</v>
      </c>
      <c r="B550" s="2" t="s">
        <v>51</v>
      </c>
      <c r="C550" s="61" t="n">
        <v>8.03</v>
      </c>
      <c r="D550" s="62" t="n">
        <v>25.7</v>
      </c>
      <c r="E550" s="62" t="n">
        <v>54</v>
      </c>
      <c r="F550" s="62" t="n">
        <f aca="false">E550*0.7</f>
        <v>37.8</v>
      </c>
      <c r="G550" s="62" t="n">
        <v>0.25</v>
      </c>
      <c r="H550" s="62" t="n">
        <v>8.01</v>
      </c>
      <c r="I550" s="62" t="n">
        <v>24.1</v>
      </c>
      <c r="J550" s="63"/>
      <c r="K550" s="63"/>
      <c r="L550" s="62" t="n">
        <v>0.18</v>
      </c>
      <c r="M550" s="62" t="n">
        <v>8.01</v>
      </c>
      <c r="N550" s="62" t="n">
        <v>24</v>
      </c>
      <c r="O550" s="63"/>
      <c r="P550" s="63"/>
      <c r="Q550" s="62" t="n">
        <v>0.2</v>
      </c>
      <c r="R550" s="62" t="n">
        <v>8</v>
      </c>
      <c r="S550" s="62" t="n">
        <v>23.9</v>
      </c>
      <c r="T550" s="63"/>
      <c r="U550" s="63"/>
      <c r="V550" s="58" t="n">
        <v>0</v>
      </c>
      <c r="W550" s="62" t="n">
        <v>8</v>
      </c>
      <c r="X550" s="62" t="n">
        <v>24</v>
      </c>
      <c r="Y550" s="63"/>
      <c r="Z550" s="63"/>
      <c r="AA550" s="58" t="n">
        <v>0</v>
      </c>
      <c r="AB550" s="62" t="n">
        <v>7.97</v>
      </c>
      <c r="AC550" s="62" t="n">
        <v>24.2</v>
      </c>
      <c r="AD550" s="62" t="n">
        <v>53.9</v>
      </c>
      <c r="AE550" s="62" t="n">
        <f aca="false">AD550*0.7</f>
        <v>37.73</v>
      </c>
      <c r="AF550" s="62"/>
      <c r="AG550" s="58" t="n">
        <v>0</v>
      </c>
      <c r="AH550" s="62"/>
      <c r="AI550" s="62" t="n">
        <v>7.97</v>
      </c>
      <c r="AJ550" s="62" t="n">
        <v>24.1</v>
      </c>
      <c r="AK550" s="62" t="n">
        <v>53.9</v>
      </c>
      <c r="AL550" s="62" t="n">
        <f aca="false">AK550*0.7</f>
        <v>37.73</v>
      </c>
      <c r="AM550" s="62"/>
      <c r="AN550" s="58" t="n">
        <v>0</v>
      </c>
      <c r="AO550" s="62" t="n">
        <v>6.35</v>
      </c>
      <c r="AP550" s="62" t="n">
        <v>24.4</v>
      </c>
      <c r="AQ550" s="62" t="n">
        <v>344</v>
      </c>
      <c r="AR550" s="62" t="n">
        <f aca="false">0.55*AQ550</f>
        <v>189.2</v>
      </c>
      <c r="AS550" s="58" t="n">
        <v>0</v>
      </c>
      <c r="AT550" s="62" t="n">
        <v>8.14</v>
      </c>
      <c r="AU550" s="62" t="n">
        <v>24.9</v>
      </c>
      <c r="AV550" s="62" t="n">
        <v>484</v>
      </c>
      <c r="AW550" s="62" t="n">
        <f aca="false">0.55*AV550</f>
        <v>266.2</v>
      </c>
      <c r="AX550" s="62" t="n">
        <v>0.9</v>
      </c>
      <c r="AY550" s="58" t="n">
        <v>0</v>
      </c>
    </row>
    <row r="551" customFormat="false" ht="15" hidden="false" customHeight="false" outlineLevel="0" collapsed="false">
      <c r="A551" s="16" t="n">
        <v>45603</v>
      </c>
      <c r="B551" s="2" t="s">
        <v>52</v>
      </c>
      <c r="C551" s="29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</row>
    <row r="552" customFormat="false" ht="15" hidden="false" customHeight="false" outlineLevel="0" collapsed="false">
      <c r="A552" s="16" t="n">
        <v>45603</v>
      </c>
      <c r="B552" s="2" t="s">
        <v>57</v>
      </c>
      <c r="C552" s="29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</row>
    <row r="553" customFormat="false" ht="16.15" hidden="false" customHeight="false" outlineLevel="0" collapsed="false">
      <c r="A553" s="16" t="n">
        <v>45633</v>
      </c>
      <c r="B553" s="2" t="s">
        <v>51</v>
      </c>
      <c r="C553" s="61" t="n">
        <v>8.03</v>
      </c>
      <c r="D553" s="62" t="n">
        <v>25</v>
      </c>
      <c r="E553" s="62"/>
      <c r="F553" s="62" t="n">
        <f aca="false">E553*0.7</f>
        <v>0</v>
      </c>
      <c r="G553" s="62"/>
      <c r="H553" s="62" t="n">
        <v>8.02</v>
      </c>
      <c r="I553" s="62" t="n">
        <v>24.2</v>
      </c>
      <c r="J553" s="63" t="n">
        <v>54.1</v>
      </c>
      <c r="K553" s="63"/>
      <c r="L553" s="62"/>
      <c r="M553" s="62" t="n">
        <v>8.01</v>
      </c>
      <c r="N553" s="62" t="n">
        <v>24</v>
      </c>
      <c r="O553" s="63"/>
      <c r="P553" s="63"/>
      <c r="Q553" s="62"/>
      <c r="R553" s="62" t="n">
        <v>8</v>
      </c>
      <c r="S553" s="62" t="n">
        <v>24</v>
      </c>
      <c r="T553" s="63"/>
      <c r="U553" s="63"/>
      <c r="V553" s="58" t="n">
        <v>0</v>
      </c>
      <c r="W553" s="62" t="n">
        <v>8</v>
      </c>
      <c r="X553" s="62" t="n">
        <v>23.9</v>
      </c>
      <c r="Y553" s="63"/>
      <c r="Z553" s="63"/>
      <c r="AA553" s="58" t="n">
        <v>0</v>
      </c>
      <c r="AB553" s="62" t="n">
        <v>8</v>
      </c>
      <c r="AC553" s="62" t="n">
        <v>23.8</v>
      </c>
      <c r="AD553" s="62" t="n">
        <v>54</v>
      </c>
      <c r="AE553" s="62" t="n">
        <f aca="false">AD553*0.7</f>
        <v>37.8</v>
      </c>
      <c r="AF553" s="62"/>
      <c r="AG553" s="58" t="n">
        <v>0</v>
      </c>
      <c r="AH553" s="62"/>
      <c r="AI553" s="62" t="n">
        <v>7.99</v>
      </c>
      <c r="AJ553" s="62" t="n">
        <v>23.7</v>
      </c>
      <c r="AK553" s="62" t="n">
        <v>54</v>
      </c>
      <c r="AL553" s="62" t="n">
        <f aca="false">AK553*0.7</f>
        <v>37.8</v>
      </c>
      <c r="AM553" s="62"/>
      <c r="AN553" s="58" t="n">
        <v>0</v>
      </c>
      <c r="AO553" s="62" t="n">
        <v>6.59</v>
      </c>
      <c r="AP553" s="62" t="n">
        <v>24.1</v>
      </c>
      <c r="AQ553" s="62" t="n">
        <v>353</v>
      </c>
      <c r="AR553" s="62" t="n">
        <f aca="false">AQ553*0.55</f>
        <v>194.15</v>
      </c>
      <c r="AS553" s="58" t="n">
        <v>0</v>
      </c>
      <c r="AT553" s="62" t="n">
        <v>8.13</v>
      </c>
      <c r="AU553" s="62" t="n">
        <v>24.7</v>
      </c>
      <c r="AV553" s="62" t="n">
        <v>490</v>
      </c>
      <c r="AW553" s="62" t="n">
        <f aca="false">AV553*0.55</f>
        <v>269.5</v>
      </c>
      <c r="AX553" s="62" t="n">
        <v>0.9</v>
      </c>
      <c r="AY553" s="58" t="n">
        <v>0</v>
      </c>
    </row>
    <row r="554" customFormat="false" ht="15" hidden="false" customHeight="false" outlineLevel="0" collapsed="false">
      <c r="A554" s="16" t="n">
        <v>45633</v>
      </c>
      <c r="B554" s="2" t="s">
        <v>52</v>
      </c>
      <c r="C554" s="29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</row>
    <row r="555" customFormat="false" ht="15" hidden="false" customHeight="false" outlineLevel="0" collapsed="false">
      <c r="A555" s="16" t="n">
        <v>45633</v>
      </c>
      <c r="B555" s="2" t="s">
        <v>57</v>
      </c>
      <c r="C555" s="29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</row>
    <row r="556" customFormat="false" ht="16.15" hidden="false" customHeight="false" outlineLevel="0" collapsed="false">
      <c r="A556" s="16" t="s">
        <v>149</v>
      </c>
      <c r="B556" s="2" t="s">
        <v>51</v>
      </c>
      <c r="C556" s="61" t="n">
        <v>8.04</v>
      </c>
      <c r="D556" s="62" t="n">
        <v>25.1</v>
      </c>
      <c r="E556" s="62" t="n">
        <v>54.1</v>
      </c>
      <c r="F556" s="62" t="n">
        <f aca="false">E556*0.7</f>
        <v>37.87</v>
      </c>
      <c r="G556" s="62" t="n">
        <v>0.25</v>
      </c>
      <c r="H556" s="62" t="n">
        <v>8.02</v>
      </c>
      <c r="I556" s="62" t="n">
        <v>24.1</v>
      </c>
      <c r="J556" s="63"/>
      <c r="K556" s="63"/>
      <c r="L556" s="62" t="n">
        <v>0.83</v>
      </c>
      <c r="M556" s="62" t="n">
        <v>8.01</v>
      </c>
      <c r="N556" s="62" t="n">
        <v>23.8</v>
      </c>
      <c r="O556" s="63"/>
      <c r="P556" s="63"/>
      <c r="Q556" s="62" t="n">
        <v>0.55</v>
      </c>
      <c r="R556" s="62" t="n">
        <v>8</v>
      </c>
      <c r="S556" s="62" t="n">
        <v>23.9</v>
      </c>
      <c r="T556" s="63"/>
      <c r="U556" s="63"/>
      <c r="V556" s="58" t="n">
        <v>0</v>
      </c>
      <c r="W556" s="62" t="n">
        <v>8</v>
      </c>
      <c r="X556" s="62" t="n">
        <v>23.9</v>
      </c>
      <c r="Y556" s="63"/>
      <c r="Z556" s="63"/>
      <c r="AA556" s="58" t="n">
        <v>0</v>
      </c>
      <c r="AB556" s="62" t="n">
        <v>7.98</v>
      </c>
      <c r="AC556" s="62" t="n">
        <v>23.7</v>
      </c>
      <c r="AD556" s="62" t="n">
        <v>54</v>
      </c>
      <c r="AE556" s="62" t="n">
        <f aca="false">AD556*0.7</f>
        <v>37.8</v>
      </c>
      <c r="AF556" s="62"/>
      <c r="AG556" s="58" t="n">
        <v>0</v>
      </c>
      <c r="AH556" s="62"/>
      <c r="AI556" s="62" t="n">
        <v>7.98</v>
      </c>
      <c r="AJ556" s="62" t="n">
        <v>23.7</v>
      </c>
      <c r="AK556" s="62" t="n">
        <v>54</v>
      </c>
      <c r="AL556" s="62" t="n">
        <f aca="false">AK556*0.7</f>
        <v>37.8</v>
      </c>
      <c r="AM556" s="62"/>
      <c r="AN556" s="58" t="n">
        <v>0</v>
      </c>
      <c r="AO556" s="62" t="n">
        <v>6.34</v>
      </c>
      <c r="AP556" s="62" t="n">
        <v>24.4</v>
      </c>
      <c r="AQ556" s="62" t="n">
        <v>368</v>
      </c>
      <c r="AR556" s="62" t="n">
        <f aca="false">0.55*AQ556</f>
        <v>202.4</v>
      </c>
      <c r="AS556" s="58" t="n">
        <v>0</v>
      </c>
      <c r="AT556" s="62" t="n">
        <v>8.1</v>
      </c>
      <c r="AU556" s="62" t="n">
        <v>24.7</v>
      </c>
      <c r="AV556" s="62" t="n">
        <v>500</v>
      </c>
      <c r="AW556" s="62" t="n">
        <f aca="false">0.55*AV556</f>
        <v>275</v>
      </c>
      <c r="AX556" s="62" t="n">
        <v>0.9</v>
      </c>
      <c r="AY556" s="58" t="n">
        <v>0</v>
      </c>
    </row>
    <row r="557" customFormat="false" ht="15" hidden="false" customHeight="false" outlineLevel="0" collapsed="false">
      <c r="A557" s="16" t="s">
        <v>149</v>
      </c>
      <c r="B557" s="2" t="s">
        <v>52</v>
      </c>
      <c r="C557" s="29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</row>
    <row r="558" customFormat="false" ht="15" hidden="false" customHeight="false" outlineLevel="0" collapsed="false">
      <c r="A558" s="16" t="s">
        <v>149</v>
      </c>
      <c r="B558" s="2" t="s">
        <v>57</v>
      </c>
      <c r="C558" s="29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</row>
    <row r="559" customFormat="false" ht="16.15" hidden="false" customHeight="false" outlineLevel="0" collapsed="false">
      <c r="A559" s="16" t="s">
        <v>150</v>
      </c>
      <c r="B559" s="2" t="s">
        <v>51</v>
      </c>
      <c r="C559" s="57" t="n">
        <v>8</v>
      </c>
      <c r="D559" s="62" t="n">
        <v>25.6</v>
      </c>
      <c r="E559" s="58" t="n">
        <v>54</v>
      </c>
      <c r="F559" s="58" t="n">
        <f aca="false">E559*0.7</f>
        <v>37.8</v>
      </c>
      <c r="G559" s="58" t="n">
        <v>0.25</v>
      </c>
      <c r="H559" s="58" t="n">
        <v>7.99</v>
      </c>
      <c r="I559" s="62" t="n">
        <v>24</v>
      </c>
      <c r="J559" s="59"/>
      <c r="K559" s="59"/>
      <c r="L559" s="58" t="n">
        <v>0.76</v>
      </c>
      <c r="M559" s="58" t="n">
        <v>7.99</v>
      </c>
      <c r="N559" s="62" t="n">
        <v>24.1</v>
      </c>
      <c r="O559" s="59"/>
      <c r="P559" s="59"/>
      <c r="Q559" s="58" t="n">
        <v>0.8</v>
      </c>
      <c r="R559" s="58" t="n">
        <v>7.98</v>
      </c>
      <c r="S559" s="62" t="n">
        <v>24.1</v>
      </c>
      <c r="T559" s="59"/>
      <c r="U559" s="59"/>
      <c r="V559" s="58" t="n">
        <v>0</v>
      </c>
      <c r="W559" s="58" t="n">
        <v>7.97</v>
      </c>
      <c r="X559" s="62" t="n">
        <v>24.1</v>
      </c>
      <c r="Y559" s="59"/>
      <c r="Z559" s="59"/>
      <c r="AA559" s="58" t="n">
        <v>0</v>
      </c>
      <c r="AB559" s="58" t="n">
        <v>7.97</v>
      </c>
      <c r="AC559" s="62" t="n">
        <v>24.2</v>
      </c>
      <c r="AD559" s="58" t="n">
        <v>53.6</v>
      </c>
      <c r="AE559" s="58" t="n">
        <f aca="false">AD559*0.7</f>
        <v>37.52</v>
      </c>
      <c r="AF559" s="62"/>
      <c r="AG559" s="58" t="n">
        <v>0</v>
      </c>
      <c r="AH559" s="62"/>
      <c r="AI559" s="58" t="n">
        <v>7.96</v>
      </c>
      <c r="AJ559" s="62" t="n">
        <v>24.2</v>
      </c>
      <c r="AK559" s="58" t="n">
        <v>53.7</v>
      </c>
      <c r="AL559" s="58" t="n">
        <f aca="false">AK559*0.7</f>
        <v>37.59</v>
      </c>
      <c r="AM559" s="62"/>
      <c r="AN559" s="58" t="n">
        <v>0</v>
      </c>
      <c r="AO559" s="58" t="n">
        <v>6.4</v>
      </c>
      <c r="AP559" s="62" t="n">
        <v>24.5</v>
      </c>
      <c r="AQ559" s="58" t="n">
        <v>376</v>
      </c>
      <c r="AR559" s="58" t="n">
        <f aca="false">0.55*AQ559</f>
        <v>206.8</v>
      </c>
      <c r="AS559" s="58" t="n">
        <v>0</v>
      </c>
      <c r="AT559" s="58" t="n">
        <v>8.12</v>
      </c>
      <c r="AU559" s="62" t="n">
        <v>24.9</v>
      </c>
      <c r="AV559" s="58" t="n">
        <v>491</v>
      </c>
      <c r="AW559" s="58" t="n">
        <f aca="false">0.55*AV559</f>
        <v>270.05</v>
      </c>
      <c r="AX559" s="62" t="n">
        <v>0.9</v>
      </c>
      <c r="AY559" s="58" t="n">
        <v>0</v>
      </c>
    </row>
    <row r="560" customFormat="false" ht="15" hidden="false" customHeight="false" outlineLevel="0" collapsed="false">
      <c r="A560" s="16" t="s">
        <v>150</v>
      </c>
      <c r="B560" s="2" t="s">
        <v>52</v>
      </c>
      <c r="C560" s="29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</row>
    <row r="561" customFormat="false" ht="15" hidden="false" customHeight="false" outlineLevel="0" collapsed="false">
      <c r="A561" s="16" t="s">
        <v>150</v>
      </c>
      <c r="B561" s="2" t="s">
        <v>57</v>
      </c>
      <c r="C561" s="29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</row>
    <row r="562" customFormat="false" ht="16.15" hidden="false" customHeight="false" outlineLevel="0" collapsed="false">
      <c r="A562" s="16" t="s">
        <v>151</v>
      </c>
      <c r="B562" s="2" t="s">
        <v>51</v>
      </c>
      <c r="C562" s="57" t="n">
        <v>8.03</v>
      </c>
      <c r="D562" s="62" t="n">
        <v>25.7</v>
      </c>
      <c r="E562" s="58" t="n">
        <v>53.9</v>
      </c>
      <c r="F562" s="58" t="n">
        <f aca="false">E562*0.7</f>
        <v>37.73</v>
      </c>
      <c r="G562" s="58" t="n">
        <v>0.25</v>
      </c>
      <c r="H562" s="58" t="n">
        <v>8.01</v>
      </c>
      <c r="I562" s="62" t="n">
        <v>24.3</v>
      </c>
      <c r="J562" s="59"/>
      <c r="K562" s="59"/>
      <c r="L562" s="58" t="n">
        <v>0.63</v>
      </c>
      <c r="M562" s="58" t="n">
        <v>8.01</v>
      </c>
      <c r="N562" s="62" t="n">
        <v>24.3</v>
      </c>
      <c r="O562" s="59"/>
      <c r="P562" s="59"/>
      <c r="Q562" s="58" t="n">
        <v>0.35</v>
      </c>
      <c r="R562" s="58" t="n">
        <v>8</v>
      </c>
      <c r="S562" s="62" t="n">
        <v>24.2</v>
      </c>
      <c r="T562" s="59"/>
      <c r="U562" s="59"/>
      <c r="V562" s="58" t="n">
        <v>0</v>
      </c>
      <c r="W562" s="58" t="n">
        <v>7.99</v>
      </c>
      <c r="X562" s="62" t="n">
        <v>24.2</v>
      </c>
      <c r="Y562" s="59"/>
      <c r="Z562" s="59"/>
      <c r="AA562" s="58" t="n">
        <v>0</v>
      </c>
      <c r="AB562" s="58" t="n">
        <v>7.97</v>
      </c>
      <c r="AC562" s="62" t="n">
        <v>24.3</v>
      </c>
      <c r="AD562" s="58" t="n">
        <v>53.8</v>
      </c>
      <c r="AE562" s="58" t="n">
        <f aca="false">AD562*0.7</f>
        <v>37.66</v>
      </c>
      <c r="AF562" s="62"/>
      <c r="AG562" s="58" t="n">
        <v>0</v>
      </c>
      <c r="AH562" s="62"/>
      <c r="AI562" s="58" t="n">
        <v>7.97</v>
      </c>
      <c r="AJ562" s="62" t="n">
        <v>24.3</v>
      </c>
      <c r="AK562" s="58" t="n">
        <v>53.8</v>
      </c>
      <c r="AL562" s="58" t="n">
        <f aca="false">AK562*0.7</f>
        <v>37.66</v>
      </c>
      <c r="AM562" s="62"/>
      <c r="AN562" s="58" t="n">
        <v>0</v>
      </c>
      <c r="AO562" s="58" t="n">
        <v>6.4</v>
      </c>
      <c r="AP562" s="62" t="n">
        <v>24.5</v>
      </c>
      <c r="AQ562" s="58" t="n">
        <v>491</v>
      </c>
      <c r="AR562" s="58" t="n">
        <f aca="false">0.55*AQ562</f>
        <v>270.05</v>
      </c>
      <c r="AS562" s="58" t="n">
        <v>0</v>
      </c>
      <c r="AT562" s="58" t="n">
        <v>8.21</v>
      </c>
      <c r="AU562" s="62" t="n">
        <v>25.4</v>
      </c>
      <c r="AV562" s="58" t="n">
        <v>509</v>
      </c>
      <c r="AW562" s="58" t="n">
        <f aca="false">0.55*AV562</f>
        <v>279.95</v>
      </c>
      <c r="AX562" s="62" t="n">
        <v>1</v>
      </c>
      <c r="AY562" s="58" t="n">
        <v>0</v>
      </c>
    </row>
    <row r="563" customFormat="false" ht="15" hidden="false" customHeight="false" outlineLevel="0" collapsed="false">
      <c r="A563" s="16" t="s">
        <v>151</v>
      </c>
      <c r="B563" s="2" t="s">
        <v>52</v>
      </c>
      <c r="C563" s="29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</row>
    <row r="564" customFormat="false" ht="15" hidden="false" customHeight="false" outlineLevel="0" collapsed="false">
      <c r="A564" s="16" t="s">
        <v>151</v>
      </c>
      <c r="B564" s="2" t="s">
        <v>57</v>
      </c>
      <c r="C564" s="29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</row>
    <row r="565" customFormat="false" ht="16.15" hidden="false" customHeight="false" outlineLevel="0" collapsed="false">
      <c r="A565" s="16" t="s">
        <v>152</v>
      </c>
      <c r="B565" s="2" t="s">
        <v>51</v>
      </c>
      <c r="C565" s="57" t="n">
        <v>8.04</v>
      </c>
      <c r="D565" s="62" t="n">
        <v>25.3</v>
      </c>
      <c r="E565" s="62" t="n">
        <v>54.1</v>
      </c>
      <c r="F565" s="62" t="n">
        <f aca="false">E565*0.7</f>
        <v>37.87</v>
      </c>
      <c r="G565" s="62" t="n">
        <v>0.32</v>
      </c>
      <c r="H565" s="58" t="n">
        <v>8</v>
      </c>
      <c r="I565" s="62" t="n">
        <v>25.2</v>
      </c>
      <c r="J565" s="63"/>
      <c r="K565" s="63"/>
      <c r="L565" s="62" t="n">
        <v>0.72</v>
      </c>
      <c r="M565" s="58" t="n">
        <v>8</v>
      </c>
      <c r="N565" s="62" t="n">
        <v>25.2</v>
      </c>
      <c r="O565" s="63"/>
      <c r="P565" s="63"/>
      <c r="Q565" s="62" t="n">
        <v>0.53</v>
      </c>
      <c r="R565" s="58" t="n">
        <v>7.99</v>
      </c>
      <c r="S565" s="62" t="n">
        <v>24.8</v>
      </c>
      <c r="T565" s="63"/>
      <c r="U565" s="63"/>
      <c r="V565" s="58" t="n">
        <v>0</v>
      </c>
      <c r="W565" s="58" t="n">
        <v>7.99</v>
      </c>
      <c r="X565" s="62" t="n">
        <v>24.8</v>
      </c>
      <c r="Y565" s="63"/>
      <c r="Z565" s="63"/>
      <c r="AA565" s="58" t="n">
        <v>0</v>
      </c>
      <c r="AB565" s="58" t="n">
        <v>7.96</v>
      </c>
      <c r="AC565" s="62" t="n">
        <v>24.3</v>
      </c>
      <c r="AD565" s="62" t="n">
        <v>54</v>
      </c>
      <c r="AE565" s="62" t="n">
        <f aca="false">AD565*0.7</f>
        <v>37.8</v>
      </c>
      <c r="AF565" s="62"/>
      <c r="AG565" s="58" t="n">
        <v>0</v>
      </c>
      <c r="AH565" s="62"/>
      <c r="AI565" s="58" t="n">
        <v>7.96</v>
      </c>
      <c r="AJ565" s="62" t="n">
        <v>24.3</v>
      </c>
      <c r="AK565" s="62" t="n">
        <v>54</v>
      </c>
      <c r="AL565" s="62" t="n">
        <f aca="false">AK565*0.7</f>
        <v>37.8</v>
      </c>
      <c r="AM565" s="62"/>
      <c r="AN565" s="58" t="n">
        <v>0</v>
      </c>
      <c r="AO565" s="58" t="n">
        <v>6.32</v>
      </c>
      <c r="AP565" s="62" t="n">
        <v>24.7</v>
      </c>
      <c r="AQ565" s="62" t="n">
        <v>331</v>
      </c>
      <c r="AR565" s="62" t="n">
        <f aca="false">0.55*AQ565</f>
        <v>182.05</v>
      </c>
      <c r="AS565" s="58" t="n">
        <v>0</v>
      </c>
      <c r="AT565" s="58" t="n">
        <v>8.1</v>
      </c>
      <c r="AU565" s="62" t="n">
        <v>25.6</v>
      </c>
      <c r="AV565" s="62" t="n">
        <v>521</v>
      </c>
      <c r="AW565" s="62" t="n">
        <f aca="false">0.55*AV565</f>
        <v>286.55</v>
      </c>
      <c r="AX565" s="62" t="n">
        <v>0.9</v>
      </c>
      <c r="AY565" s="58" t="n">
        <v>0.03</v>
      </c>
    </row>
    <row r="566" customFormat="false" ht="15" hidden="false" customHeight="false" outlineLevel="0" collapsed="false">
      <c r="A566" s="16" t="s">
        <v>152</v>
      </c>
      <c r="B566" s="2" t="s">
        <v>52</v>
      </c>
      <c r="C566" s="29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</row>
    <row r="567" customFormat="false" ht="15" hidden="false" customHeight="false" outlineLevel="0" collapsed="false">
      <c r="A567" s="16" t="s">
        <v>152</v>
      </c>
      <c r="B567" s="2" t="s">
        <v>57</v>
      </c>
      <c r="C567" s="29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</row>
    <row r="568" customFormat="false" ht="16.15" hidden="false" customHeight="false" outlineLevel="0" collapsed="false">
      <c r="A568" s="16" t="s">
        <v>153</v>
      </c>
      <c r="B568" s="2" t="s">
        <v>51</v>
      </c>
      <c r="C568" s="57" t="n">
        <v>8.02</v>
      </c>
      <c r="D568" s="62" t="n">
        <v>26.2</v>
      </c>
      <c r="E568" s="62" t="n">
        <v>54.1</v>
      </c>
      <c r="F568" s="62" t="n">
        <f aca="false">E568*0.7</f>
        <v>37.87</v>
      </c>
      <c r="G568" s="62" t="n">
        <v>0.25</v>
      </c>
      <c r="H568" s="58" t="n">
        <v>8</v>
      </c>
      <c r="I568" s="62" t="n">
        <v>24.6</v>
      </c>
      <c r="J568" s="63"/>
      <c r="K568" s="63"/>
      <c r="L568" s="62" t="n">
        <v>0.32</v>
      </c>
      <c r="M568" s="58" t="n">
        <v>8.01</v>
      </c>
      <c r="N568" s="62" t="n">
        <v>24.6</v>
      </c>
      <c r="O568" s="63"/>
      <c r="P568" s="63"/>
      <c r="Q568" s="62" t="n">
        <v>0.35</v>
      </c>
      <c r="R568" s="58" t="n">
        <v>7.99</v>
      </c>
      <c r="S568" s="62" t="n">
        <v>24.6</v>
      </c>
      <c r="T568" s="63"/>
      <c r="U568" s="63"/>
      <c r="V568" s="58" t="n">
        <v>0</v>
      </c>
      <c r="W568" s="58" t="n">
        <v>7.98</v>
      </c>
      <c r="X568" s="62" t="n">
        <v>24.4</v>
      </c>
      <c r="Y568" s="63"/>
      <c r="Z568" s="63"/>
      <c r="AA568" s="58" t="n">
        <v>0</v>
      </c>
      <c r="AB568" s="58" t="n">
        <v>7.98</v>
      </c>
      <c r="AC568" s="62" t="n">
        <v>24.5</v>
      </c>
      <c r="AD568" s="62" t="n">
        <v>53.9</v>
      </c>
      <c r="AE568" s="62" t="n">
        <f aca="false">AD568*0.7</f>
        <v>37.73</v>
      </c>
      <c r="AF568" s="62"/>
      <c r="AG568" s="58" t="n">
        <v>0</v>
      </c>
      <c r="AH568" s="62"/>
      <c r="AI568" s="58" t="n">
        <v>7.97</v>
      </c>
      <c r="AJ568" s="62" t="n">
        <v>24.5</v>
      </c>
      <c r="AK568" s="62" t="n">
        <v>53.9</v>
      </c>
      <c r="AL568" s="62" t="n">
        <f aca="false">AK568*0.7</f>
        <v>37.73</v>
      </c>
      <c r="AM568" s="62"/>
      <c r="AN568" s="58" t="n">
        <v>0</v>
      </c>
      <c r="AO568" s="58" t="n">
        <v>6.41</v>
      </c>
      <c r="AP568" s="62" t="n">
        <v>24.7</v>
      </c>
      <c r="AQ568" s="62" t="n">
        <v>397</v>
      </c>
      <c r="AR568" s="62" t="n">
        <f aca="false">AQ568*0.55</f>
        <v>218.35</v>
      </c>
      <c r="AS568" s="58" t="n">
        <v>0</v>
      </c>
      <c r="AT568" s="58" t="n">
        <v>8.15</v>
      </c>
      <c r="AU568" s="62" t="n">
        <v>25.5</v>
      </c>
      <c r="AV568" s="62" t="n">
        <v>519</v>
      </c>
      <c r="AW568" s="62" t="n">
        <f aca="false">AV568*0.55</f>
        <v>285.45</v>
      </c>
      <c r="AX568" s="62" t="n">
        <v>1</v>
      </c>
      <c r="AY568" s="58" t="n">
        <v>0</v>
      </c>
    </row>
    <row r="569" customFormat="false" ht="15" hidden="false" customHeight="false" outlineLevel="0" collapsed="false">
      <c r="A569" s="16" t="s">
        <v>153</v>
      </c>
      <c r="B569" s="2" t="s">
        <v>52</v>
      </c>
      <c r="C569" s="29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</row>
    <row r="570" customFormat="false" ht="15" hidden="false" customHeight="false" outlineLevel="0" collapsed="false">
      <c r="A570" s="16" t="s">
        <v>153</v>
      </c>
      <c r="B570" s="2" t="s">
        <v>57</v>
      </c>
      <c r="C570" s="29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</row>
    <row r="571" customFormat="false" ht="16.15" hidden="false" customHeight="false" outlineLevel="0" collapsed="false">
      <c r="A571" s="16" t="s">
        <v>154</v>
      </c>
      <c r="B571" s="2" t="s">
        <v>51</v>
      </c>
      <c r="C571" s="57" t="n">
        <v>8.01</v>
      </c>
      <c r="D571" s="62" t="n">
        <v>25.5</v>
      </c>
      <c r="E571" s="62" t="n">
        <v>53.8</v>
      </c>
      <c r="F571" s="62" t="n">
        <f aca="false">E571*0.7</f>
        <v>37.66</v>
      </c>
      <c r="G571" s="62" t="n">
        <v>0.25</v>
      </c>
      <c r="H571" s="58" t="n">
        <v>8</v>
      </c>
      <c r="I571" s="62" t="n">
        <v>24.2</v>
      </c>
      <c r="J571" s="63"/>
      <c r="K571" s="63"/>
      <c r="L571" s="62" t="n">
        <v>0.52</v>
      </c>
      <c r="M571" s="58" t="n">
        <v>8</v>
      </c>
      <c r="N571" s="62" t="n">
        <v>24.2</v>
      </c>
      <c r="O571" s="63"/>
      <c r="P571" s="63"/>
      <c r="Q571" s="62" t="n">
        <v>0.37</v>
      </c>
      <c r="R571" s="58" t="n">
        <v>7.99</v>
      </c>
      <c r="S571" s="62" t="n">
        <v>24</v>
      </c>
      <c r="T571" s="63"/>
      <c r="U571" s="63"/>
      <c r="V571" s="58" t="n">
        <v>0</v>
      </c>
      <c r="W571" s="58" t="n">
        <v>7.99</v>
      </c>
      <c r="X571" s="62" t="n">
        <v>24</v>
      </c>
      <c r="Y571" s="63"/>
      <c r="Z571" s="63"/>
      <c r="AA571" s="58" t="n">
        <v>0</v>
      </c>
      <c r="AB571" s="58" t="n">
        <v>7.98</v>
      </c>
      <c r="AC571" s="62" t="n">
        <v>23.9</v>
      </c>
      <c r="AD571" s="62" t="n">
        <v>53.8</v>
      </c>
      <c r="AE571" s="62" t="n">
        <f aca="false">AD571*0.7</f>
        <v>37.66</v>
      </c>
      <c r="AF571" s="62"/>
      <c r="AG571" s="58" t="n">
        <v>0</v>
      </c>
      <c r="AH571" s="62"/>
      <c r="AI571" s="58" t="n">
        <v>7.98</v>
      </c>
      <c r="AJ571" s="62" t="n">
        <v>23.9</v>
      </c>
      <c r="AK571" s="62" t="n">
        <v>53.8</v>
      </c>
      <c r="AL571" s="62" t="n">
        <f aca="false">AK571*0.7</f>
        <v>37.66</v>
      </c>
      <c r="AM571" s="62"/>
      <c r="AN571" s="58" t="n">
        <v>0</v>
      </c>
      <c r="AO571" s="58" t="n">
        <v>6.32</v>
      </c>
      <c r="AP571" s="62" t="n">
        <v>24.2</v>
      </c>
      <c r="AQ571" s="62" t="n">
        <v>351</v>
      </c>
      <c r="AR571" s="62" t="n">
        <f aca="false">AQ571*0.55</f>
        <v>193.05</v>
      </c>
      <c r="AS571" s="58" t="n">
        <v>0</v>
      </c>
      <c r="AT571" s="58" t="n">
        <v>8.14</v>
      </c>
      <c r="AU571" s="62" t="n">
        <v>25.1</v>
      </c>
      <c r="AV571" s="62" t="n">
        <v>501</v>
      </c>
      <c r="AW571" s="62" t="n">
        <f aca="false">AV571*0.55</f>
        <v>275.55</v>
      </c>
      <c r="AX571" s="62" t="n">
        <v>0.9</v>
      </c>
      <c r="AY571" s="58" t="n">
        <v>0</v>
      </c>
    </row>
    <row r="572" customFormat="false" ht="16.15" hidden="false" customHeight="false" outlineLevel="0" collapsed="false">
      <c r="A572" s="16" t="s">
        <v>155</v>
      </c>
      <c r="B572" s="2" t="s">
        <v>51</v>
      </c>
      <c r="C572" s="57" t="n">
        <v>8.02</v>
      </c>
      <c r="D572" s="62" t="n">
        <v>26.1</v>
      </c>
      <c r="E572" s="62" t="n">
        <v>53.9</v>
      </c>
      <c r="F572" s="62" t="n">
        <f aca="false">E572*0.7</f>
        <v>37.73</v>
      </c>
      <c r="G572" s="62" t="n">
        <v>0.25</v>
      </c>
      <c r="H572" s="58" t="n">
        <v>8</v>
      </c>
      <c r="I572" s="62" t="n">
        <v>24.2</v>
      </c>
      <c r="J572" s="63"/>
      <c r="K572" s="63"/>
      <c r="L572" s="62" t="n">
        <v>0.39</v>
      </c>
      <c r="M572" s="58" t="n">
        <v>8.01</v>
      </c>
      <c r="N572" s="62" t="n">
        <v>24.3</v>
      </c>
      <c r="O572" s="63"/>
      <c r="P572" s="63"/>
      <c r="Q572" s="62" t="n">
        <v>0.59</v>
      </c>
      <c r="R572" s="58" t="n">
        <v>8</v>
      </c>
      <c r="S572" s="62" t="n">
        <v>24.5</v>
      </c>
      <c r="T572" s="63"/>
      <c r="U572" s="63"/>
      <c r="V572" s="58" t="n">
        <v>0</v>
      </c>
      <c r="W572" s="58" t="n">
        <v>7.99</v>
      </c>
      <c r="X572" s="62" t="n">
        <v>24.6</v>
      </c>
      <c r="Y572" s="63"/>
      <c r="Z572" s="63"/>
      <c r="AA572" s="58" t="n">
        <v>0</v>
      </c>
      <c r="AB572" s="58" t="n">
        <v>7.98</v>
      </c>
      <c r="AC572" s="62" t="n">
        <v>24.3</v>
      </c>
      <c r="AD572" s="62" t="n">
        <v>53.4</v>
      </c>
      <c r="AE572" s="62" t="n">
        <f aca="false">AD572*0.7</f>
        <v>37.38</v>
      </c>
      <c r="AF572" s="62"/>
      <c r="AG572" s="58" t="n">
        <v>0</v>
      </c>
      <c r="AH572" s="62"/>
      <c r="AI572" s="58" t="n">
        <v>7.99</v>
      </c>
      <c r="AJ572" s="62" t="n">
        <v>24.3</v>
      </c>
      <c r="AK572" s="62" t="n">
        <v>53.5</v>
      </c>
      <c r="AL572" s="62" t="n">
        <f aca="false">AK572*0.7</f>
        <v>37.45</v>
      </c>
      <c r="AM572" s="62"/>
      <c r="AN572" s="58" t="n">
        <v>0</v>
      </c>
      <c r="AO572" s="58" t="n">
        <v>6.25</v>
      </c>
      <c r="AP572" s="62" t="n">
        <v>24.5</v>
      </c>
      <c r="AQ572" s="62" t="n">
        <v>366</v>
      </c>
      <c r="AR572" s="62" t="n">
        <f aca="false">AQ572*0.55</f>
        <v>201.3</v>
      </c>
      <c r="AS572" s="58" t="n">
        <v>0</v>
      </c>
      <c r="AT572" s="58" t="n">
        <v>8.13</v>
      </c>
      <c r="AU572" s="62" t="n">
        <v>25.1</v>
      </c>
      <c r="AV572" s="62" t="n">
        <v>496</v>
      </c>
      <c r="AW572" s="62" t="n">
        <f aca="false">AV572*0.55</f>
        <v>272.8</v>
      </c>
      <c r="AX572" s="62" t="n">
        <v>0.9</v>
      </c>
      <c r="AY572" s="58" t="n">
        <v>0</v>
      </c>
    </row>
    <row r="573" customFormat="false" ht="15" hidden="false" customHeight="false" outlineLevel="0" collapsed="false">
      <c r="A573" s="16" t="s">
        <v>155</v>
      </c>
      <c r="B573" s="2" t="s">
        <v>52</v>
      </c>
      <c r="C573" s="29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</row>
    <row r="574" customFormat="false" ht="15" hidden="false" customHeight="false" outlineLevel="0" collapsed="false">
      <c r="A574" s="16" t="s">
        <v>155</v>
      </c>
      <c r="B574" s="2" t="s">
        <v>57</v>
      </c>
      <c r="C574" s="29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</row>
    <row r="575" customFormat="false" ht="16.15" hidden="false" customHeight="false" outlineLevel="0" collapsed="false">
      <c r="A575" s="16" t="s">
        <v>156</v>
      </c>
      <c r="B575" s="2" t="s">
        <v>51</v>
      </c>
      <c r="C575" s="57" t="n">
        <v>8</v>
      </c>
      <c r="D575" s="62" t="n">
        <v>26.9</v>
      </c>
      <c r="E575" s="62" t="n">
        <v>53.9</v>
      </c>
      <c r="F575" s="62" t="n">
        <f aca="false">E575*0.7</f>
        <v>37.73</v>
      </c>
      <c r="G575" s="62" t="n">
        <v>0.16</v>
      </c>
      <c r="H575" s="58" t="n">
        <v>7.99</v>
      </c>
      <c r="I575" s="62" t="n">
        <v>24.4</v>
      </c>
      <c r="J575" s="63"/>
      <c r="K575" s="63"/>
      <c r="L575" s="62" t="n">
        <v>0.54</v>
      </c>
      <c r="M575" s="58" t="n">
        <v>7.99</v>
      </c>
      <c r="N575" s="62" t="n">
        <v>24.4</v>
      </c>
      <c r="O575" s="63"/>
      <c r="P575" s="63"/>
      <c r="Q575" s="62" t="n">
        <v>0.46</v>
      </c>
      <c r="R575" s="58" t="n">
        <v>7.96</v>
      </c>
      <c r="S575" s="62" t="n">
        <v>24.5</v>
      </c>
      <c r="T575" s="63"/>
      <c r="U575" s="63"/>
      <c r="V575" s="58" t="n">
        <v>0.11</v>
      </c>
      <c r="W575" s="58" t="n">
        <v>7.97</v>
      </c>
      <c r="X575" s="62" t="n">
        <v>24.4</v>
      </c>
      <c r="Y575" s="63"/>
      <c r="Z575" s="63"/>
      <c r="AA575" s="58" t="n">
        <v>0.12</v>
      </c>
      <c r="AB575" s="58" t="n">
        <v>7.95</v>
      </c>
      <c r="AC575" s="62" t="n">
        <v>24.3</v>
      </c>
      <c r="AD575" s="62" t="n">
        <v>53.6</v>
      </c>
      <c r="AE575" s="62" t="n">
        <f aca="false">AD575*0.7</f>
        <v>37.52</v>
      </c>
      <c r="AF575" s="62"/>
      <c r="AG575" s="58" t="n">
        <v>0.08</v>
      </c>
      <c r="AH575" s="62"/>
      <c r="AI575" s="58" t="n">
        <v>7.95</v>
      </c>
      <c r="AJ575" s="62" t="n">
        <v>24.3</v>
      </c>
      <c r="AK575" s="62" t="n">
        <v>53.6</v>
      </c>
      <c r="AL575" s="62" t="n">
        <f aca="false">AK575*0.7</f>
        <v>37.52</v>
      </c>
      <c r="AM575" s="62"/>
      <c r="AN575" s="58" t="n">
        <v>0.11</v>
      </c>
      <c r="AO575" s="58" t="n">
        <v>6.35</v>
      </c>
      <c r="AP575" s="62" t="n">
        <v>24.5</v>
      </c>
      <c r="AQ575" s="62" t="n">
        <v>390</v>
      </c>
      <c r="AR575" s="62" t="n">
        <f aca="false">0.55*AQ575</f>
        <v>214.5</v>
      </c>
      <c r="AS575" s="58" t="n">
        <v>0.14</v>
      </c>
      <c r="AT575" s="58" t="n">
        <v>8.15</v>
      </c>
      <c r="AU575" s="62" t="n">
        <v>25.3</v>
      </c>
      <c r="AV575" s="62" t="n">
        <v>515</v>
      </c>
      <c r="AW575" s="62" t="n">
        <f aca="false">0.55*AV575</f>
        <v>283.25</v>
      </c>
      <c r="AX575" s="62" t="n">
        <v>1</v>
      </c>
      <c r="AY575" s="58" t="n">
        <v>0.32</v>
      </c>
    </row>
    <row r="576" customFormat="false" ht="15" hidden="false" customHeight="false" outlineLevel="0" collapsed="false">
      <c r="A576" s="16" t="s">
        <v>156</v>
      </c>
      <c r="B576" s="2" t="s">
        <v>52</v>
      </c>
      <c r="C576" s="29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</row>
    <row r="577" customFormat="false" ht="15" hidden="false" customHeight="false" outlineLevel="0" collapsed="false">
      <c r="A577" s="16" t="s">
        <v>156</v>
      </c>
      <c r="B577" s="2" t="s">
        <v>57</v>
      </c>
      <c r="C577" s="29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</row>
    <row r="578" customFormat="false" ht="16.15" hidden="false" customHeight="false" outlineLevel="0" collapsed="false">
      <c r="A578" s="16" t="s">
        <v>157</v>
      </c>
      <c r="B578" s="2" t="s">
        <v>51</v>
      </c>
      <c r="C578" s="57" t="n">
        <v>8</v>
      </c>
      <c r="D578" s="62" t="n">
        <v>26.3</v>
      </c>
      <c r="E578" s="62" t="n">
        <v>53.9</v>
      </c>
      <c r="F578" s="62" t="n">
        <f aca="false">E578*0.7</f>
        <v>37.73</v>
      </c>
      <c r="G578" s="62" t="n">
        <v>0.9</v>
      </c>
      <c r="H578" s="58" t="n">
        <v>7.98</v>
      </c>
      <c r="I578" s="62" t="n">
        <v>25.7</v>
      </c>
      <c r="J578" s="63"/>
      <c r="K578" s="63"/>
      <c r="L578" s="62" t="n">
        <v>0.94</v>
      </c>
      <c r="M578" s="58" t="n">
        <v>7.98</v>
      </c>
      <c r="N578" s="62" t="n">
        <v>25.6</v>
      </c>
      <c r="O578" s="63"/>
      <c r="P578" s="63"/>
      <c r="Q578" s="62" t="n">
        <v>0.69</v>
      </c>
      <c r="R578" s="58" t="n">
        <v>7.96</v>
      </c>
      <c r="S578" s="62" t="n">
        <v>25.7</v>
      </c>
      <c r="T578" s="63"/>
      <c r="U578" s="63"/>
      <c r="V578" s="58" t="n">
        <v>0.05</v>
      </c>
      <c r="W578" s="58" t="n">
        <v>7.96</v>
      </c>
      <c r="X578" s="62" t="n">
        <v>25.6</v>
      </c>
      <c r="Y578" s="63"/>
      <c r="Z578" s="63"/>
      <c r="AA578" s="58" t="n">
        <v>0.14</v>
      </c>
      <c r="AB578" s="58" t="n">
        <v>7.95</v>
      </c>
      <c r="AC578" s="62" t="n">
        <v>25.3</v>
      </c>
      <c r="AD578" s="62" t="n">
        <v>53.8</v>
      </c>
      <c r="AE578" s="62" t="n">
        <f aca="false">AD578*0.7</f>
        <v>37.66</v>
      </c>
      <c r="AF578" s="62"/>
      <c r="AG578" s="58" t="n">
        <v>0.11</v>
      </c>
      <c r="AH578" s="62"/>
      <c r="AI578" s="58" t="n">
        <v>7.94</v>
      </c>
      <c r="AJ578" s="62" t="n">
        <v>25.3</v>
      </c>
      <c r="AK578" s="62" t="n">
        <v>53.8</v>
      </c>
      <c r="AL578" s="62" t="n">
        <f aca="false">AK578*0.7</f>
        <v>37.66</v>
      </c>
      <c r="AM578" s="62"/>
      <c r="AN578" s="58" t="n">
        <v>0.1</v>
      </c>
      <c r="AO578" s="58" t="n">
        <v>6.3</v>
      </c>
      <c r="AP578" s="62" t="n">
        <v>25.5</v>
      </c>
      <c r="AQ578" s="62" t="n">
        <v>564</v>
      </c>
      <c r="AR578" s="62" t="n">
        <f aca="false">0.55*AQ578</f>
        <v>310.2</v>
      </c>
      <c r="AS578" s="58" t="n">
        <v>0.07</v>
      </c>
      <c r="AT578" s="58" t="n">
        <v>8.31</v>
      </c>
      <c r="AU578" s="62" t="n">
        <v>26.7</v>
      </c>
      <c r="AV578" s="62" t="n">
        <v>566</v>
      </c>
      <c r="AW578" s="62" t="n">
        <f aca="false">0.55*AV578</f>
        <v>311.3</v>
      </c>
      <c r="AX578" s="62" t="n">
        <v>0.9</v>
      </c>
      <c r="AY578" s="58" t="n">
        <v>0.21</v>
      </c>
    </row>
    <row r="579" customFormat="false" ht="15" hidden="false" customHeight="false" outlineLevel="0" collapsed="false">
      <c r="A579" s="16" t="s">
        <v>157</v>
      </c>
      <c r="B579" s="2" t="s">
        <v>52</v>
      </c>
      <c r="C579" s="29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</row>
    <row r="580" customFormat="false" ht="15" hidden="false" customHeight="false" outlineLevel="0" collapsed="false">
      <c r="A580" s="16" t="s">
        <v>157</v>
      </c>
      <c r="B580" s="2" t="s">
        <v>57</v>
      </c>
      <c r="C580" s="29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</row>
    <row r="581" customFormat="false" ht="16.15" hidden="false" customHeight="false" outlineLevel="0" collapsed="false">
      <c r="A581" s="16" t="s">
        <v>158</v>
      </c>
      <c r="B581" s="2" t="s">
        <v>51</v>
      </c>
      <c r="C581" s="57" t="n">
        <v>8.02</v>
      </c>
      <c r="D581" s="62" t="n">
        <v>25.6</v>
      </c>
      <c r="E581" s="62" t="n">
        <v>53.8</v>
      </c>
      <c r="F581" s="62" t="n">
        <f aca="false">E581*0.7</f>
        <v>37.66</v>
      </c>
      <c r="G581" s="62" t="n">
        <v>0.11</v>
      </c>
      <c r="H581" s="58" t="n">
        <v>8</v>
      </c>
      <c r="I581" s="62" t="n">
        <v>24</v>
      </c>
      <c r="J581" s="63"/>
      <c r="K581" s="63"/>
      <c r="L581" s="62" t="n">
        <v>0.84</v>
      </c>
      <c r="M581" s="58" t="n">
        <v>8</v>
      </c>
      <c r="N581" s="62" t="n">
        <v>24</v>
      </c>
      <c r="O581" s="63"/>
      <c r="P581" s="63"/>
      <c r="Q581" s="62" t="n">
        <v>0.71</v>
      </c>
      <c r="R581" s="58" t="n">
        <v>7.99</v>
      </c>
      <c r="S581" s="62" t="n">
        <v>24</v>
      </c>
      <c r="T581" s="63"/>
      <c r="U581" s="63"/>
      <c r="V581" s="58" t="n">
        <v>0.05</v>
      </c>
      <c r="W581" s="58" t="n">
        <v>7.98</v>
      </c>
      <c r="X581" s="62" t="n">
        <v>24</v>
      </c>
      <c r="Y581" s="63"/>
      <c r="Z581" s="63"/>
      <c r="AA581" s="58" t="n">
        <v>0.08</v>
      </c>
      <c r="AB581" s="58" t="n">
        <v>7.96</v>
      </c>
      <c r="AC581" s="62" t="n">
        <v>23.8</v>
      </c>
      <c r="AD581" s="62" t="n">
        <v>53.8</v>
      </c>
      <c r="AE581" s="62" t="n">
        <f aca="false">AD581*0.7</f>
        <v>37.66</v>
      </c>
      <c r="AF581" s="62"/>
      <c r="AG581" s="58" t="n">
        <v>0.06</v>
      </c>
      <c r="AH581" s="62"/>
      <c r="AI581" s="58" t="n">
        <v>7.96</v>
      </c>
      <c r="AJ581" s="62" t="n">
        <v>23.8</v>
      </c>
      <c r="AK581" s="62" t="n">
        <v>53.8</v>
      </c>
      <c r="AL581" s="62" t="n">
        <f aca="false">AK581*0.7</f>
        <v>37.66</v>
      </c>
      <c r="AM581" s="62"/>
      <c r="AN581" s="58" t="n">
        <v>0.06</v>
      </c>
      <c r="AO581" s="58" t="n">
        <v>6.4</v>
      </c>
      <c r="AP581" s="62" t="n">
        <v>24.1</v>
      </c>
      <c r="AQ581" s="62" t="n">
        <v>369</v>
      </c>
      <c r="AR581" s="62" t="n">
        <f aca="false">0.55*AQ581</f>
        <v>202.95</v>
      </c>
      <c r="AS581" s="58" t="n">
        <v>0.01</v>
      </c>
      <c r="AT581" s="58" t="n">
        <v>8.27</v>
      </c>
      <c r="AU581" s="62" t="n">
        <v>25.3</v>
      </c>
      <c r="AV581" s="62" t="n">
        <v>522</v>
      </c>
      <c r="AW581" s="62" t="n">
        <f aca="false">0.55*AV581</f>
        <v>287.1</v>
      </c>
      <c r="AX581" s="62" t="n">
        <v>1</v>
      </c>
      <c r="AY581" s="58" t="n">
        <v>0.14</v>
      </c>
    </row>
    <row r="582" customFormat="false" ht="15" hidden="false" customHeight="false" outlineLevel="0" collapsed="false">
      <c r="A582" s="16" t="s">
        <v>158</v>
      </c>
      <c r="B582" s="2" t="s">
        <v>52</v>
      </c>
      <c r="C582" s="29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</row>
    <row r="583" customFormat="false" ht="15" hidden="false" customHeight="false" outlineLevel="0" collapsed="false">
      <c r="A583" s="16" t="s">
        <v>158</v>
      </c>
      <c r="B583" s="2" t="s">
        <v>57</v>
      </c>
      <c r="C583" s="29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</row>
    <row r="584" customFormat="false" ht="16.15" hidden="false" customHeight="false" outlineLevel="0" collapsed="false">
      <c r="A584" s="16" t="s">
        <v>159</v>
      </c>
      <c r="B584" s="2" t="s">
        <v>51</v>
      </c>
      <c r="C584" s="57" t="n">
        <v>8.02</v>
      </c>
      <c r="D584" s="62" t="n">
        <v>26</v>
      </c>
      <c r="E584" s="62" t="n">
        <v>53.9</v>
      </c>
      <c r="F584" s="62" t="n">
        <f aca="false">E584*0.7</f>
        <v>37.73</v>
      </c>
      <c r="G584" s="62" t="n">
        <v>0.24</v>
      </c>
      <c r="H584" s="58" t="n">
        <v>8</v>
      </c>
      <c r="I584" s="62" t="n">
        <v>24</v>
      </c>
      <c r="J584" s="63"/>
      <c r="K584" s="63"/>
      <c r="L584" s="62" t="n">
        <v>0.7</v>
      </c>
      <c r="M584" s="58" t="n">
        <v>8</v>
      </c>
      <c r="N584" s="62" t="n">
        <v>24</v>
      </c>
      <c r="O584" s="63"/>
      <c r="P584" s="63"/>
      <c r="Q584" s="62" t="n">
        <v>0.74</v>
      </c>
      <c r="R584" s="58" t="n">
        <v>7.99</v>
      </c>
      <c r="S584" s="62" t="n">
        <v>24</v>
      </c>
      <c r="T584" s="63"/>
      <c r="U584" s="63"/>
      <c r="V584" s="58" t="n">
        <v>0.04</v>
      </c>
      <c r="W584" s="58" t="n">
        <v>7.99</v>
      </c>
      <c r="X584" s="62" t="n">
        <v>24</v>
      </c>
      <c r="Y584" s="63"/>
      <c r="Z584" s="63"/>
      <c r="AA584" s="58" t="n">
        <v>0.05</v>
      </c>
      <c r="AB584" s="58" t="n">
        <v>7.97</v>
      </c>
      <c r="AC584" s="62" t="n">
        <v>24.1</v>
      </c>
      <c r="AD584" s="62" t="n">
        <v>53.9</v>
      </c>
      <c r="AE584" s="62" t="n">
        <f aca="false">AD584*0.7</f>
        <v>37.73</v>
      </c>
      <c r="AF584" s="62"/>
      <c r="AG584" s="58" t="n">
        <v>0.03</v>
      </c>
      <c r="AH584" s="62"/>
      <c r="AI584" s="58" t="n">
        <v>7.97</v>
      </c>
      <c r="AJ584" s="62" t="n">
        <v>24.1</v>
      </c>
      <c r="AK584" s="62" t="n">
        <v>53.9</v>
      </c>
      <c r="AL584" s="62" t="n">
        <f aca="false">AK584*0.7</f>
        <v>37.73</v>
      </c>
      <c r="AM584" s="62"/>
      <c r="AN584" s="58" t="n">
        <v>0.02</v>
      </c>
      <c r="AO584" s="58" t="n">
        <v>6.36</v>
      </c>
      <c r="AP584" s="62" t="n">
        <v>24.3</v>
      </c>
      <c r="AQ584" s="62" t="n">
        <v>542</v>
      </c>
      <c r="AR584" s="62" t="n">
        <f aca="false">0.55*AQ584</f>
        <v>298.1</v>
      </c>
      <c r="AS584" s="58" t="n">
        <v>0.05</v>
      </c>
      <c r="AT584" s="58" t="n">
        <v>8.05</v>
      </c>
      <c r="AU584" s="62" t="n">
        <v>25</v>
      </c>
      <c r="AV584" s="62" t="n">
        <v>502</v>
      </c>
      <c r="AW584" s="62" t="n">
        <f aca="false">0.55*AV584</f>
        <v>276.1</v>
      </c>
      <c r="AX584" s="62" t="n">
        <v>0.9</v>
      </c>
      <c r="AY584" s="58" t="n">
        <v>0.17</v>
      </c>
    </row>
    <row r="585" customFormat="false" ht="15" hidden="false" customHeight="false" outlineLevel="0" collapsed="false">
      <c r="A585" s="16" t="s">
        <v>159</v>
      </c>
      <c r="B585" s="2" t="s">
        <v>52</v>
      </c>
      <c r="C585" s="29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</row>
    <row r="586" customFormat="false" ht="15" hidden="false" customHeight="false" outlineLevel="0" collapsed="false">
      <c r="A586" s="16" t="s">
        <v>159</v>
      </c>
      <c r="B586" s="2" t="s">
        <v>57</v>
      </c>
      <c r="C586" s="29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</row>
    <row r="587" customFormat="false" ht="16.15" hidden="false" customHeight="false" outlineLevel="0" collapsed="false">
      <c r="A587" s="16" t="s">
        <v>160</v>
      </c>
      <c r="B587" s="2" t="s">
        <v>51</v>
      </c>
      <c r="C587" s="57" t="n">
        <v>8.02</v>
      </c>
      <c r="D587" s="62" t="n">
        <v>25.8</v>
      </c>
      <c r="E587" s="62" t="n">
        <v>53.9</v>
      </c>
      <c r="F587" s="62" t="n">
        <f aca="false">E587*0.7</f>
        <v>37.73</v>
      </c>
      <c r="G587" s="62" t="n">
        <v>0.1</v>
      </c>
      <c r="H587" s="58" t="n">
        <v>8</v>
      </c>
      <c r="I587" s="62" t="n">
        <v>24</v>
      </c>
      <c r="J587" s="63"/>
      <c r="K587" s="63"/>
      <c r="L587" s="62" t="n">
        <v>0.52</v>
      </c>
      <c r="M587" s="58" t="n">
        <v>8</v>
      </c>
      <c r="N587" s="62" t="n">
        <v>24</v>
      </c>
      <c r="O587" s="63"/>
      <c r="P587" s="63"/>
      <c r="Q587" s="62" t="n">
        <v>0.54</v>
      </c>
      <c r="R587" s="58" t="n">
        <v>7.98</v>
      </c>
      <c r="S587" s="62" t="n">
        <v>23.9</v>
      </c>
      <c r="T587" s="63"/>
      <c r="U587" s="63"/>
      <c r="V587" s="58" t="n">
        <v>0.04</v>
      </c>
      <c r="W587" s="58" t="n">
        <v>7.99</v>
      </c>
      <c r="X587" s="62" t="n">
        <v>23.9</v>
      </c>
      <c r="Y587" s="63"/>
      <c r="Z587" s="63"/>
      <c r="AA587" s="58" t="n">
        <v>0</v>
      </c>
      <c r="AB587" s="58" t="n">
        <v>7.95</v>
      </c>
      <c r="AC587" s="62" t="n">
        <v>23.5</v>
      </c>
      <c r="AD587" s="62" t="n">
        <v>53.9</v>
      </c>
      <c r="AE587" s="62" t="n">
        <f aca="false">AD587*0.7</f>
        <v>37.73</v>
      </c>
      <c r="AF587" s="62"/>
      <c r="AG587" s="58" t="n">
        <v>0</v>
      </c>
      <c r="AH587" s="62"/>
      <c r="AI587" s="58" t="n">
        <v>7.96</v>
      </c>
      <c r="AJ587" s="62" t="n">
        <v>23.8</v>
      </c>
      <c r="AK587" s="62" t="n">
        <v>53.9</v>
      </c>
      <c r="AL587" s="62" t="n">
        <f aca="false">AK587*0.7</f>
        <v>37.73</v>
      </c>
      <c r="AM587" s="62"/>
      <c r="AN587" s="58" t="n">
        <v>0.01</v>
      </c>
      <c r="AO587" s="58" t="n">
        <v>6.43</v>
      </c>
      <c r="AP587" s="62" t="n">
        <v>24.5</v>
      </c>
      <c r="AQ587" s="62" t="n">
        <v>354</v>
      </c>
      <c r="AR587" s="62" t="n">
        <f aca="false">0.55*AQ587</f>
        <v>194.7</v>
      </c>
      <c r="AS587" s="58" t="n">
        <v>0</v>
      </c>
      <c r="AT587" s="58" t="n">
        <v>8.25</v>
      </c>
      <c r="AU587" s="62" t="n">
        <v>25.3</v>
      </c>
      <c r="AV587" s="62" t="n">
        <v>516</v>
      </c>
      <c r="AW587" s="62" t="n">
        <f aca="false">0.55*AV587</f>
        <v>283.8</v>
      </c>
      <c r="AX587" s="62" t="n">
        <v>1</v>
      </c>
      <c r="AY587" s="58" t="n">
        <v>0.12</v>
      </c>
    </row>
    <row r="588" customFormat="false" ht="16.15" hidden="false" customHeight="false" outlineLevel="0" collapsed="false">
      <c r="A588" s="16" t="s">
        <v>161</v>
      </c>
      <c r="B588" s="2" t="s">
        <v>51</v>
      </c>
      <c r="C588" s="57" t="n">
        <v>8.02</v>
      </c>
      <c r="D588" s="62" t="n">
        <v>23.4</v>
      </c>
      <c r="E588" s="62" t="n">
        <v>53.9</v>
      </c>
      <c r="F588" s="62" t="n">
        <f aca="false">E588*0.7</f>
        <v>37.73</v>
      </c>
      <c r="G588" s="62" t="n">
        <v>0.25</v>
      </c>
      <c r="H588" s="58" t="n">
        <v>7.99</v>
      </c>
      <c r="I588" s="62" t="n">
        <v>22.5</v>
      </c>
      <c r="J588" s="63"/>
      <c r="K588" s="63"/>
      <c r="L588" s="62" t="n">
        <v>0.76</v>
      </c>
      <c r="M588" s="58" t="n">
        <v>7.99</v>
      </c>
      <c r="N588" s="62" t="n">
        <v>22.8</v>
      </c>
      <c r="O588" s="63"/>
      <c r="P588" s="63"/>
      <c r="Q588" s="62" t="n">
        <v>0.82</v>
      </c>
      <c r="R588" s="58" t="n">
        <v>8</v>
      </c>
      <c r="S588" s="62" t="n">
        <v>22.7</v>
      </c>
      <c r="T588" s="63"/>
      <c r="U588" s="63"/>
      <c r="V588" s="58" t="n">
        <v>0.03</v>
      </c>
      <c r="W588" s="58" t="n">
        <v>8</v>
      </c>
      <c r="X588" s="62" t="n">
        <v>22.7</v>
      </c>
      <c r="Y588" s="63"/>
      <c r="Z588" s="63"/>
      <c r="AA588" s="58" t="n">
        <v>0.03</v>
      </c>
      <c r="AB588" s="58" t="n">
        <v>7.99</v>
      </c>
      <c r="AC588" s="62" t="n">
        <v>23</v>
      </c>
      <c r="AD588" s="62" t="n">
        <v>53.8</v>
      </c>
      <c r="AE588" s="62" t="n">
        <f aca="false">AD588*0.7</f>
        <v>37.66</v>
      </c>
      <c r="AF588" s="62"/>
      <c r="AG588" s="58" t="n">
        <v>0.01</v>
      </c>
      <c r="AH588" s="62"/>
      <c r="AI588" s="58" t="n">
        <v>7.99</v>
      </c>
      <c r="AJ588" s="62" t="n">
        <v>23</v>
      </c>
      <c r="AK588" s="62" t="n">
        <v>53.8</v>
      </c>
      <c r="AL588" s="62" t="n">
        <f aca="false">AK588*0.7</f>
        <v>37.66</v>
      </c>
      <c r="AM588" s="62"/>
      <c r="AN588" s="58" t="n">
        <v>0.01</v>
      </c>
      <c r="AO588" s="58" t="n">
        <v>6.35</v>
      </c>
      <c r="AP588" s="62" t="n">
        <v>24</v>
      </c>
      <c r="AQ588" s="62" t="n">
        <v>350</v>
      </c>
      <c r="AR588" s="62" t="n">
        <f aca="false">0.55*AQ588</f>
        <v>192.5</v>
      </c>
      <c r="AS588" s="58" t="n">
        <v>0.01</v>
      </c>
      <c r="AT588" s="58" t="n">
        <v>8.22</v>
      </c>
      <c r="AU588" s="62" t="n">
        <v>25</v>
      </c>
      <c r="AV588" s="62" t="n">
        <v>529</v>
      </c>
      <c r="AW588" s="62" t="n">
        <f aca="false">0.55*AV588</f>
        <v>290.95</v>
      </c>
      <c r="AX588" s="62" t="n">
        <v>0.9</v>
      </c>
      <c r="AY588" s="58" t="n">
        <v>0.09</v>
      </c>
    </row>
    <row r="589" customFormat="false" ht="15" hidden="false" customHeight="false" outlineLevel="0" collapsed="false">
      <c r="A589" s="16" t="s">
        <v>161</v>
      </c>
      <c r="B589" s="2" t="s">
        <v>52</v>
      </c>
      <c r="C589" s="29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</row>
    <row r="590" customFormat="false" ht="15" hidden="false" customHeight="false" outlineLevel="0" collapsed="false">
      <c r="A590" s="16" t="s">
        <v>161</v>
      </c>
      <c r="B590" s="2" t="s">
        <v>57</v>
      </c>
      <c r="C590" s="29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</row>
    <row r="591" customFormat="false" ht="16.15" hidden="false" customHeight="false" outlineLevel="0" collapsed="false">
      <c r="A591" s="16" t="s">
        <v>162</v>
      </c>
      <c r="B591" s="2" t="s">
        <v>51</v>
      </c>
      <c r="C591" s="57" t="n">
        <v>8.01</v>
      </c>
      <c r="D591" s="62" t="n">
        <v>25.2</v>
      </c>
      <c r="E591" s="62" t="n">
        <v>54</v>
      </c>
      <c r="F591" s="62" t="n">
        <f aca="false">E591*0.7</f>
        <v>37.8</v>
      </c>
      <c r="G591" s="62" t="n">
        <v>0.17</v>
      </c>
      <c r="H591" s="58" t="n">
        <v>8</v>
      </c>
      <c r="I591" s="62" t="n">
        <v>23.8</v>
      </c>
      <c r="J591" s="63"/>
      <c r="K591" s="63"/>
      <c r="L591" s="62" t="n">
        <v>0.51</v>
      </c>
      <c r="M591" s="58" t="n">
        <v>8</v>
      </c>
      <c r="N591" s="62" t="n">
        <v>23.8</v>
      </c>
      <c r="O591" s="63"/>
      <c r="P591" s="63"/>
      <c r="Q591" s="62" t="n">
        <v>0.56</v>
      </c>
      <c r="R591" s="58" t="n">
        <v>7.98</v>
      </c>
      <c r="S591" s="62" t="n">
        <v>23.6</v>
      </c>
      <c r="T591" s="63"/>
      <c r="U591" s="63"/>
      <c r="V591" s="58" t="n">
        <v>0.03</v>
      </c>
      <c r="W591" s="58" t="n">
        <v>0.98</v>
      </c>
      <c r="X591" s="62" t="n">
        <v>23.7</v>
      </c>
      <c r="Y591" s="63"/>
      <c r="Z591" s="63"/>
      <c r="AA591" s="58" t="n">
        <v>0.05</v>
      </c>
      <c r="AB591" s="58" t="n">
        <v>7.97</v>
      </c>
      <c r="AC591" s="62" t="n">
        <v>24.1</v>
      </c>
      <c r="AD591" s="62" t="n">
        <v>53.7</v>
      </c>
      <c r="AE591" s="62" t="n">
        <f aca="false">AD591*0.7</f>
        <v>37.59</v>
      </c>
      <c r="AF591" s="62"/>
      <c r="AG591" s="58" t="n">
        <v>0.06</v>
      </c>
      <c r="AH591" s="62"/>
      <c r="AI591" s="58" t="n">
        <v>7.97</v>
      </c>
      <c r="AJ591" s="62" t="n">
        <v>24.1</v>
      </c>
      <c r="AK591" s="62" t="n">
        <v>53.7</v>
      </c>
      <c r="AL591" s="62" t="n">
        <f aca="false">AK591*0.7</f>
        <v>37.59</v>
      </c>
      <c r="AM591" s="62"/>
      <c r="AN591" s="58" t="n">
        <v>0.03</v>
      </c>
      <c r="AO591" s="58" t="n">
        <v>6.48</v>
      </c>
      <c r="AP591" s="62" t="n">
        <v>24.3</v>
      </c>
      <c r="AQ591" s="62" t="n">
        <v>476</v>
      </c>
      <c r="AR591" s="62" t="n">
        <f aca="false">0.55*AQ591</f>
        <v>261.8</v>
      </c>
      <c r="AS591" s="58" t="n">
        <v>0.09</v>
      </c>
      <c r="AT591" s="58" t="n">
        <v>8.08</v>
      </c>
      <c r="AU591" s="62" t="n">
        <v>24.2</v>
      </c>
      <c r="AV591" s="62" t="n">
        <v>469</v>
      </c>
      <c r="AW591" s="62" t="n">
        <f aca="false">0.55*AV591</f>
        <v>257.95</v>
      </c>
      <c r="AX591" s="62" t="n">
        <v>0.9</v>
      </c>
      <c r="AY591" s="58" t="n">
        <v>0.03</v>
      </c>
    </row>
    <row r="592" customFormat="false" ht="15" hidden="false" customHeight="false" outlineLevel="0" collapsed="false">
      <c r="A592" s="16" t="s">
        <v>162</v>
      </c>
      <c r="B592" s="2" t="s">
        <v>52</v>
      </c>
      <c r="C592" s="29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</row>
    <row r="593" customFormat="false" ht="15" hidden="false" customHeight="false" outlineLevel="0" collapsed="false">
      <c r="A593" s="16" t="s">
        <v>162</v>
      </c>
      <c r="B593" s="2" t="s">
        <v>57</v>
      </c>
      <c r="C593" s="29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</row>
    <row r="594" customFormat="false" ht="16.15" hidden="false" customHeight="false" outlineLevel="0" collapsed="false">
      <c r="A594" s="16" t="s">
        <v>163</v>
      </c>
      <c r="B594" s="2" t="s">
        <v>51</v>
      </c>
      <c r="C594" s="57" t="n">
        <v>8</v>
      </c>
      <c r="D594" s="62" t="n">
        <v>26.6</v>
      </c>
      <c r="E594" s="62" t="n">
        <v>53.9</v>
      </c>
      <c r="F594" s="62" t="n">
        <f aca="false">E594*0.7</f>
        <v>37.73</v>
      </c>
      <c r="G594" s="62" t="n">
        <v>0.17</v>
      </c>
      <c r="H594" s="58" t="n">
        <v>7.96</v>
      </c>
      <c r="I594" s="62" t="n">
        <v>24.1</v>
      </c>
      <c r="J594" s="63"/>
      <c r="K594" s="63"/>
      <c r="L594" s="62" t="n">
        <v>1.22</v>
      </c>
      <c r="M594" s="58" t="n">
        <v>7.96</v>
      </c>
      <c r="N594" s="62" t="n">
        <v>24.1</v>
      </c>
      <c r="O594" s="63"/>
      <c r="P594" s="63"/>
      <c r="Q594" s="62" t="n">
        <v>0.93</v>
      </c>
      <c r="R594" s="58" t="n">
        <v>7.99</v>
      </c>
      <c r="S594" s="62" t="n">
        <v>24.3</v>
      </c>
      <c r="T594" s="63"/>
      <c r="U594" s="63"/>
      <c r="V594" s="58" t="n">
        <v>0.28</v>
      </c>
      <c r="W594" s="58" t="n">
        <v>7.99</v>
      </c>
      <c r="X594" s="62" t="n">
        <v>24.3</v>
      </c>
      <c r="Y594" s="63"/>
      <c r="Z594" s="63"/>
      <c r="AA594" s="58" t="n">
        <v>0.19</v>
      </c>
      <c r="AB594" s="58" t="n">
        <v>7.96</v>
      </c>
      <c r="AC594" s="62" t="n">
        <v>24.1</v>
      </c>
      <c r="AD594" s="62" t="n">
        <v>53.7</v>
      </c>
      <c r="AE594" s="62" t="n">
        <f aca="false">AD594*0.7</f>
        <v>37.59</v>
      </c>
      <c r="AF594" s="62"/>
      <c r="AG594" s="58" t="n">
        <v>0.09</v>
      </c>
      <c r="AH594" s="62"/>
      <c r="AI594" s="58" t="n">
        <v>7.95</v>
      </c>
      <c r="AJ594" s="62" t="n">
        <v>24</v>
      </c>
      <c r="AK594" s="62" t="n">
        <v>53.7</v>
      </c>
      <c r="AL594" s="62" t="n">
        <f aca="false">AK594*0.7</f>
        <v>37.59</v>
      </c>
      <c r="AM594" s="62"/>
      <c r="AN594" s="58" t="n">
        <v>0.06</v>
      </c>
      <c r="AO594" s="58" t="n">
        <v>6.4</v>
      </c>
      <c r="AP594" s="62" t="n">
        <v>24.2</v>
      </c>
      <c r="AQ594" s="62" t="n">
        <v>346</v>
      </c>
      <c r="AR594" s="62" t="n">
        <f aca="false">0.55*AQ594</f>
        <v>190.3</v>
      </c>
      <c r="AS594" s="58" t="n">
        <v>0.05</v>
      </c>
      <c r="AT594" s="58" t="n">
        <v>8.03</v>
      </c>
      <c r="AU594" s="62" t="n">
        <v>24.7</v>
      </c>
      <c r="AV594" s="62" t="n">
        <v>497</v>
      </c>
      <c r="AW594" s="62" t="n">
        <f aca="false">0.55*AV594</f>
        <v>273.35</v>
      </c>
      <c r="AX594" s="62" t="n">
        <v>0.9</v>
      </c>
      <c r="AY594" s="58" t="n">
        <v>0.07</v>
      </c>
    </row>
    <row r="595" customFormat="false" ht="15" hidden="false" customHeight="false" outlineLevel="0" collapsed="false">
      <c r="A595" s="16" t="s">
        <v>163</v>
      </c>
      <c r="B595" s="2" t="s">
        <v>52</v>
      </c>
      <c r="C595" s="29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</row>
    <row r="596" customFormat="false" ht="15" hidden="false" customHeight="false" outlineLevel="0" collapsed="false">
      <c r="A596" s="16" t="s">
        <v>163</v>
      </c>
      <c r="B596" s="2" t="s">
        <v>57</v>
      </c>
      <c r="C596" s="29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</row>
    <row r="597" customFormat="false" ht="16.15" hidden="false" customHeight="false" outlineLevel="0" collapsed="false">
      <c r="A597" s="16" t="s">
        <v>164</v>
      </c>
      <c r="B597" s="2" t="s">
        <v>51</v>
      </c>
      <c r="C597" s="57" t="n">
        <v>8</v>
      </c>
      <c r="D597" s="62" t="n">
        <v>25.4</v>
      </c>
      <c r="E597" s="62" t="n">
        <v>54</v>
      </c>
      <c r="F597" s="62" t="n">
        <f aca="false">E597*0.7</f>
        <v>37.8</v>
      </c>
      <c r="G597" s="62" t="n">
        <v>0.06</v>
      </c>
      <c r="H597" s="58" t="n">
        <v>7.99</v>
      </c>
      <c r="I597" s="62" t="n">
        <v>23.9</v>
      </c>
      <c r="J597" s="63"/>
      <c r="K597" s="63"/>
      <c r="L597" s="62" t="n">
        <v>0.53</v>
      </c>
      <c r="M597" s="58" t="n">
        <v>7.99</v>
      </c>
      <c r="N597" s="62" t="n">
        <v>23.9</v>
      </c>
      <c r="O597" s="63"/>
      <c r="P597" s="63"/>
      <c r="Q597" s="62" t="n">
        <v>0.5</v>
      </c>
      <c r="R597" s="58" t="n">
        <v>7.98</v>
      </c>
      <c r="S597" s="62" t="n">
        <v>23.6</v>
      </c>
      <c r="T597" s="63"/>
      <c r="U597" s="63"/>
      <c r="V597" s="58" t="n">
        <v>0</v>
      </c>
      <c r="W597" s="58" t="n">
        <v>7.98</v>
      </c>
      <c r="X597" s="62" t="n">
        <v>23.5</v>
      </c>
      <c r="Y597" s="63"/>
      <c r="Z597" s="63"/>
      <c r="AA597" s="58" t="n">
        <v>0</v>
      </c>
      <c r="AB597" s="58" t="n">
        <v>7.96</v>
      </c>
      <c r="AC597" s="62" t="n">
        <v>23.6</v>
      </c>
      <c r="AD597" s="62" t="n">
        <v>53.7</v>
      </c>
      <c r="AE597" s="62" t="n">
        <f aca="false">AD597*0.7</f>
        <v>37.59</v>
      </c>
      <c r="AF597" s="62"/>
      <c r="AG597" s="58" t="n">
        <v>0</v>
      </c>
      <c r="AH597" s="62"/>
      <c r="AI597" s="58" t="n">
        <v>7.95</v>
      </c>
      <c r="AJ597" s="62" t="n">
        <v>23.6</v>
      </c>
      <c r="AK597" s="62" t="n">
        <v>53.7</v>
      </c>
      <c r="AL597" s="62" t="n">
        <f aca="false">AK597*0.7</f>
        <v>37.59</v>
      </c>
      <c r="AM597" s="62"/>
      <c r="AN597" s="58" t="n">
        <v>0</v>
      </c>
      <c r="AO597" s="58" t="n">
        <v>6.44</v>
      </c>
      <c r="AP597" s="62" t="n">
        <v>23.8</v>
      </c>
      <c r="AQ597" s="62" t="n">
        <v>360</v>
      </c>
      <c r="AR597" s="62" t="n">
        <f aca="false">0.55*AQ597</f>
        <v>198</v>
      </c>
      <c r="AS597" s="58" t="n">
        <v>0</v>
      </c>
      <c r="AT597" s="58" t="n">
        <v>8.11</v>
      </c>
      <c r="AU597" s="62" t="n">
        <v>24.3</v>
      </c>
      <c r="AV597" s="62" t="n">
        <v>483</v>
      </c>
      <c r="AW597" s="62" t="n">
        <f aca="false">0.55*AV597</f>
        <v>265.65</v>
      </c>
      <c r="AX597" s="62" t="n">
        <v>0.8</v>
      </c>
      <c r="AY597" s="58" t="n">
        <v>0.03</v>
      </c>
    </row>
    <row r="598" customFormat="false" ht="15" hidden="false" customHeight="false" outlineLevel="0" collapsed="false">
      <c r="A598" s="16" t="s">
        <v>164</v>
      </c>
      <c r="B598" s="2" t="s">
        <v>52</v>
      </c>
      <c r="C598" s="29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</row>
    <row r="599" customFormat="false" ht="15" hidden="false" customHeight="false" outlineLevel="0" collapsed="false">
      <c r="A599" s="16" t="s">
        <v>164</v>
      </c>
      <c r="B599" s="2" t="s">
        <v>57</v>
      </c>
      <c r="C599" s="29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</row>
    <row r="600" customFormat="false" ht="16.15" hidden="false" customHeight="false" outlineLevel="0" collapsed="false">
      <c r="A600" s="16" t="s">
        <v>165</v>
      </c>
      <c r="B600" s="2" t="s">
        <v>51</v>
      </c>
      <c r="C600" s="57" t="n">
        <v>8</v>
      </c>
      <c r="D600" s="62" t="n">
        <v>25.6</v>
      </c>
      <c r="E600" s="62" t="n">
        <v>53.6</v>
      </c>
      <c r="F600" s="62" t="n">
        <f aca="false">E600*0.7</f>
        <v>37.52</v>
      </c>
      <c r="G600" s="62" t="n">
        <v>0.04</v>
      </c>
      <c r="H600" s="58" t="n">
        <v>7.98</v>
      </c>
      <c r="I600" s="62" t="n">
        <v>23.3</v>
      </c>
      <c r="J600" s="63"/>
      <c r="K600" s="63"/>
      <c r="L600" s="62" t="n">
        <v>0.45</v>
      </c>
      <c r="M600" s="58" t="n">
        <v>7.99</v>
      </c>
      <c r="N600" s="62" t="n">
        <v>23.3</v>
      </c>
      <c r="O600" s="63"/>
      <c r="P600" s="63"/>
      <c r="Q600" s="62" t="n">
        <v>0.5</v>
      </c>
      <c r="R600" s="58" t="n">
        <v>7.96</v>
      </c>
      <c r="S600" s="62" t="n">
        <v>23.2</v>
      </c>
      <c r="T600" s="63"/>
      <c r="U600" s="63"/>
      <c r="V600" s="58" t="n">
        <v>0.04</v>
      </c>
      <c r="W600" s="58" t="n">
        <v>7.98</v>
      </c>
      <c r="X600" s="62" t="n">
        <v>23.2</v>
      </c>
      <c r="Y600" s="63"/>
      <c r="Z600" s="63"/>
      <c r="AA600" s="58" t="n">
        <v>0.01</v>
      </c>
      <c r="AB600" s="58" t="n">
        <v>7.95</v>
      </c>
      <c r="AC600" s="62" t="n">
        <v>23.1</v>
      </c>
      <c r="AD600" s="62" t="n">
        <v>53.6</v>
      </c>
      <c r="AE600" s="62" t="n">
        <f aca="false">AD600*0.7</f>
        <v>37.52</v>
      </c>
      <c r="AF600" s="62"/>
      <c r="AG600" s="58" t="n">
        <v>0</v>
      </c>
      <c r="AH600" s="62"/>
      <c r="AI600" s="58" t="n">
        <v>7.97</v>
      </c>
      <c r="AJ600" s="62" t="n">
        <v>23.1</v>
      </c>
      <c r="AK600" s="62" t="n">
        <v>53.5</v>
      </c>
      <c r="AL600" s="62" t="n">
        <f aca="false">AK600*0.7</f>
        <v>37.45</v>
      </c>
      <c r="AM600" s="62"/>
      <c r="AN600" s="58" t="n">
        <v>0</v>
      </c>
      <c r="AO600" s="58" t="n">
        <v>6.37</v>
      </c>
      <c r="AP600" s="62" t="n">
        <v>23.5</v>
      </c>
      <c r="AQ600" s="62" t="n">
        <v>329</v>
      </c>
      <c r="AR600" s="62" t="n">
        <f aca="false">0.55*AQ600</f>
        <v>180.95</v>
      </c>
      <c r="AS600" s="58" t="n">
        <v>0.01</v>
      </c>
      <c r="AT600" s="58" t="n">
        <v>7.96</v>
      </c>
      <c r="AU600" s="62" t="n">
        <v>24.2</v>
      </c>
      <c r="AV600" s="62" t="n">
        <v>475</v>
      </c>
      <c r="AW600" s="62" t="n">
        <f aca="false">0.55*AV600</f>
        <v>261.25</v>
      </c>
      <c r="AX600" s="62" t="n">
        <v>0.9</v>
      </c>
      <c r="AY600" s="58" t="n">
        <v>0.01</v>
      </c>
    </row>
    <row r="601" customFormat="false" ht="15" hidden="false" customHeight="false" outlineLevel="0" collapsed="false">
      <c r="A601" s="16" t="s">
        <v>165</v>
      </c>
      <c r="B601" s="2" t="s">
        <v>52</v>
      </c>
      <c r="C601" s="29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</row>
    <row r="602" customFormat="false" ht="15" hidden="false" customHeight="false" outlineLevel="0" collapsed="false">
      <c r="A602" s="16" t="s">
        <v>165</v>
      </c>
      <c r="B602" s="2" t="s">
        <v>57</v>
      </c>
      <c r="C602" s="29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</row>
    <row r="603" customFormat="false" ht="16.15" hidden="false" customHeight="false" outlineLevel="0" collapsed="false">
      <c r="A603" s="16" t="n">
        <v>45299</v>
      </c>
      <c r="B603" s="2" t="s">
        <v>51</v>
      </c>
      <c r="C603" s="57" t="n">
        <v>8.01</v>
      </c>
      <c r="D603" s="62" t="n">
        <v>26</v>
      </c>
      <c r="E603" s="62" t="n">
        <v>53.9</v>
      </c>
      <c r="F603" s="62" t="n">
        <f aca="false">E603*0.7</f>
        <v>37.73</v>
      </c>
      <c r="G603" s="62" t="n">
        <v>0.03</v>
      </c>
      <c r="H603" s="58" t="n">
        <v>7.99</v>
      </c>
      <c r="I603" s="62" t="n">
        <v>24.1</v>
      </c>
      <c r="J603" s="63"/>
      <c r="K603" s="63"/>
      <c r="L603" s="62" t="n">
        <v>0.47</v>
      </c>
      <c r="M603" s="58" t="n">
        <v>7.99</v>
      </c>
      <c r="N603" s="62" t="n">
        <v>24.1</v>
      </c>
      <c r="O603" s="63"/>
      <c r="P603" s="63"/>
      <c r="Q603" s="62" t="n">
        <v>0.51</v>
      </c>
      <c r="R603" s="58" t="n">
        <v>7.97</v>
      </c>
      <c r="S603" s="62" t="n">
        <v>24</v>
      </c>
      <c r="T603" s="63"/>
      <c r="U603" s="63"/>
      <c r="V603" s="58" t="n">
        <v>0</v>
      </c>
      <c r="W603" s="58" t="n">
        <v>7.98</v>
      </c>
      <c r="X603" s="62" t="n">
        <v>23.9</v>
      </c>
      <c r="Y603" s="63"/>
      <c r="Z603" s="63"/>
      <c r="AA603" s="58" t="n">
        <v>0</v>
      </c>
      <c r="AB603" s="58" t="n">
        <v>7.96</v>
      </c>
      <c r="AC603" s="62" t="n">
        <v>23.9</v>
      </c>
      <c r="AD603" s="62" t="n">
        <v>53.7</v>
      </c>
      <c r="AE603" s="62" t="n">
        <f aca="false">AD603*0.7</f>
        <v>37.59</v>
      </c>
      <c r="AF603" s="62"/>
      <c r="AG603" s="58" t="n">
        <v>0</v>
      </c>
      <c r="AH603" s="62"/>
      <c r="AI603" s="58" t="n">
        <v>7.96</v>
      </c>
      <c r="AJ603" s="62" t="n">
        <v>23.9</v>
      </c>
      <c r="AK603" s="62" t="n">
        <v>53.6</v>
      </c>
      <c r="AL603" s="62" t="n">
        <f aca="false">AK603*0.7</f>
        <v>37.52</v>
      </c>
      <c r="AM603" s="62"/>
      <c r="AN603" s="58" t="n">
        <v>0</v>
      </c>
      <c r="AO603" s="58" t="n">
        <v>6.37</v>
      </c>
      <c r="AP603" s="62" t="n">
        <v>24.2</v>
      </c>
      <c r="AQ603" s="62" t="n">
        <v>505</v>
      </c>
      <c r="AR603" s="62" t="n">
        <f aca="false">0.55*AQ603</f>
        <v>277.75</v>
      </c>
      <c r="AS603" s="58" t="n">
        <v>0</v>
      </c>
      <c r="AT603" s="58" t="n">
        <v>8.25</v>
      </c>
      <c r="AU603" s="62" t="n">
        <v>24.9</v>
      </c>
      <c r="AV603" s="62" t="n">
        <v>527</v>
      </c>
      <c r="AW603" s="62" t="n">
        <f aca="false">0.55*AV603</f>
        <v>289.85</v>
      </c>
      <c r="AX603" s="62" t="n">
        <v>1</v>
      </c>
      <c r="AY603" s="58" t="n">
        <v>0.03</v>
      </c>
    </row>
    <row r="604" customFormat="false" ht="16.15" hidden="false" customHeight="false" outlineLevel="0" collapsed="false">
      <c r="A604" s="16" t="n">
        <v>45359</v>
      </c>
      <c r="B604" s="2" t="s">
        <v>51</v>
      </c>
      <c r="C604" s="57" t="n">
        <v>8.05</v>
      </c>
      <c r="D604" s="62" t="n">
        <v>26.8</v>
      </c>
      <c r="E604" s="62" t="n">
        <v>54.2</v>
      </c>
      <c r="F604" s="62" t="n">
        <f aca="false">E604*0.7</f>
        <v>37.94</v>
      </c>
      <c r="G604" s="62" t="n">
        <v>0.18</v>
      </c>
      <c r="H604" s="58" t="n">
        <v>7.93</v>
      </c>
      <c r="I604" s="62" t="n">
        <v>26.6</v>
      </c>
      <c r="J604" s="63"/>
      <c r="K604" s="63"/>
      <c r="L604" s="62" t="n">
        <v>0.64</v>
      </c>
      <c r="M604" s="58" t="n">
        <v>7.96</v>
      </c>
      <c r="N604" s="62" t="n">
        <v>26.6</v>
      </c>
      <c r="O604" s="63"/>
      <c r="P604" s="63"/>
      <c r="Q604" s="62" t="n">
        <v>0.72</v>
      </c>
      <c r="R604" s="58" t="n">
        <v>7.94</v>
      </c>
      <c r="S604" s="62" t="n">
        <v>26.5</v>
      </c>
      <c r="T604" s="63"/>
      <c r="U604" s="63"/>
      <c r="V604" s="58" t="n">
        <v>0</v>
      </c>
      <c r="W604" s="58" t="n">
        <v>7.94</v>
      </c>
      <c r="X604" s="62" t="n">
        <v>26.5</v>
      </c>
      <c r="Y604" s="63"/>
      <c r="Z604" s="63"/>
      <c r="AA604" s="58" t="n">
        <v>0</v>
      </c>
      <c r="AB604" s="58" t="n">
        <v>7.93</v>
      </c>
      <c r="AC604" s="62" t="n">
        <v>26.4</v>
      </c>
      <c r="AD604" s="62" t="n">
        <v>53.9</v>
      </c>
      <c r="AE604" s="62" t="n">
        <f aca="false">AD604*0.7</f>
        <v>37.73</v>
      </c>
      <c r="AF604" s="62"/>
      <c r="AG604" s="58" t="n">
        <v>0</v>
      </c>
      <c r="AH604" s="62"/>
      <c r="AI604" s="58" t="n">
        <v>7.93</v>
      </c>
      <c r="AJ604" s="62" t="n">
        <v>26.4</v>
      </c>
      <c r="AK604" s="62" t="n">
        <v>53.9</v>
      </c>
      <c r="AL604" s="62" t="n">
        <f aca="false">AK604*0.7</f>
        <v>37.73</v>
      </c>
      <c r="AM604" s="62"/>
      <c r="AN604" s="58" t="n">
        <v>0</v>
      </c>
      <c r="AO604" s="58" t="n">
        <v>6.45</v>
      </c>
      <c r="AP604" s="62" t="n">
        <v>25.3</v>
      </c>
      <c r="AQ604" s="62" t="n">
        <v>367</v>
      </c>
      <c r="AR604" s="62" t="n">
        <f aca="false">0.55*AQ604</f>
        <v>201.85</v>
      </c>
      <c r="AS604" s="58" t="n">
        <v>0</v>
      </c>
      <c r="AT604" s="58" t="n">
        <v>8.11</v>
      </c>
      <c r="AU604" s="62" t="n">
        <v>26</v>
      </c>
      <c r="AV604" s="62" t="n">
        <v>628</v>
      </c>
      <c r="AW604" s="62" t="n">
        <f aca="false">0.55*AV604</f>
        <v>345.4</v>
      </c>
      <c r="AX604" s="62" t="n">
        <v>0.9</v>
      </c>
      <c r="AY604" s="58" t="n">
        <v>0</v>
      </c>
    </row>
    <row r="605" customFormat="false" ht="15" hidden="false" customHeight="false" outlineLevel="0" collapsed="false">
      <c r="A605" s="16" t="n">
        <v>45359</v>
      </c>
      <c r="B605" s="2" t="s">
        <v>52</v>
      </c>
      <c r="C605" s="29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</row>
    <row r="606" customFormat="false" ht="15" hidden="false" customHeight="false" outlineLevel="0" collapsed="false">
      <c r="A606" s="16" t="n">
        <v>45359</v>
      </c>
      <c r="B606" s="2" t="s">
        <v>57</v>
      </c>
      <c r="C606" s="29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</row>
    <row r="607" customFormat="false" ht="16.15" hidden="false" customHeight="false" outlineLevel="0" collapsed="false">
      <c r="A607" s="16" t="n">
        <v>45390</v>
      </c>
      <c r="B607" s="2" t="s">
        <v>51</v>
      </c>
      <c r="C607" s="57" t="n">
        <v>8</v>
      </c>
      <c r="D607" s="62" t="n">
        <v>27</v>
      </c>
      <c r="E607" s="62" t="n">
        <v>53.9</v>
      </c>
      <c r="F607" s="62" t="n">
        <f aca="false">E607*0.7</f>
        <v>37.73</v>
      </c>
      <c r="G607" s="62" t="n">
        <v>0.1</v>
      </c>
      <c r="H607" s="58" t="n">
        <v>7.98</v>
      </c>
      <c r="I607" s="62" t="n">
        <v>25.9</v>
      </c>
      <c r="J607" s="63"/>
      <c r="K607" s="63"/>
      <c r="L607" s="62" t="n">
        <v>0.41</v>
      </c>
      <c r="M607" s="58" t="n">
        <v>7.98</v>
      </c>
      <c r="N607" s="62" t="n">
        <v>25.9</v>
      </c>
      <c r="O607" s="63"/>
      <c r="P607" s="63"/>
      <c r="Q607" s="62" t="n">
        <v>0.35</v>
      </c>
      <c r="R607" s="58" t="n">
        <v>7.96</v>
      </c>
      <c r="S607" s="62" t="n">
        <v>26.1</v>
      </c>
      <c r="T607" s="63"/>
      <c r="U607" s="63"/>
      <c r="V607" s="58" t="n">
        <v>0</v>
      </c>
      <c r="W607" s="58" t="n">
        <v>7.97</v>
      </c>
      <c r="X607" s="62" t="n">
        <v>25.9</v>
      </c>
      <c r="Y607" s="63"/>
      <c r="Z607" s="63"/>
      <c r="AA607" s="58" t="n">
        <v>0</v>
      </c>
      <c r="AB607" s="58" t="n">
        <v>7.97</v>
      </c>
      <c r="AC607" s="62" t="n">
        <v>25.8</v>
      </c>
      <c r="AD607" s="62" t="n">
        <v>53.9</v>
      </c>
      <c r="AE607" s="62" t="n">
        <f aca="false">AD607*0.7</f>
        <v>37.73</v>
      </c>
      <c r="AF607" s="62"/>
      <c r="AG607" s="58" t="n">
        <v>0</v>
      </c>
      <c r="AH607" s="62"/>
      <c r="AI607" s="58" t="n">
        <v>7.95</v>
      </c>
      <c r="AJ607" s="62" t="n">
        <v>25.7</v>
      </c>
      <c r="AK607" s="62" t="n">
        <v>53.9</v>
      </c>
      <c r="AL607" s="62" t="n">
        <f aca="false">AK607*0.7</f>
        <v>37.73</v>
      </c>
      <c r="AM607" s="62"/>
      <c r="AN607" s="58" t="n">
        <v>0</v>
      </c>
      <c r="AO607" s="58" t="n">
        <v>6.6</v>
      </c>
      <c r="AP607" s="62" t="n">
        <v>26.8</v>
      </c>
      <c r="AQ607" s="64" t="n">
        <v>702</v>
      </c>
      <c r="AR607" s="62" t="n">
        <f aca="false">0.55*AQ607</f>
        <v>386.1</v>
      </c>
      <c r="AS607" s="58" t="n">
        <v>0</v>
      </c>
      <c r="AT607" s="58" t="n">
        <v>8.27</v>
      </c>
      <c r="AU607" s="62" t="n">
        <v>27.05</v>
      </c>
      <c r="AV607" s="62" t="n">
        <v>663</v>
      </c>
      <c r="AW607" s="62" t="n">
        <f aca="false">0.55*AV607</f>
        <v>364.65</v>
      </c>
      <c r="AX607" s="62" t="n">
        <v>0.8</v>
      </c>
      <c r="AY607" s="58" t="n">
        <v>0</v>
      </c>
    </row>
    <row r="608" customFormat="false" ht="15" hidden="false" customHeight="false" outlineLevel="0" collapsed="false">
      <c r="A608" s="16" t="n">
        <v>45390</v>
      </c>
      <c r="B608" s="2" t="s">
        <v>52</v>
      </c>
      <c r="C608" s="29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</row>
    <row r="609" customFormat="false" ht="15" hidden="false" customHeight="false" outlineLevel="0" collapsed="false">
      <c r="A609" s="16" t="n">
        <v>45390</v>
      </c>
      <c r="B609" s="2" t="s">
        <v>57</v>
      </c>
      <c r="C609" s="29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</row>
    <row r="610" customFormat="false" ht="16.15" hidden="false" customHeight="false" outlineLevel="0" collapsed="false">
      <c r="A610" s="16" t="n">
        <v>45420</v>
      </c>
      <c r="B610" s="2" t="s">
        <v>51</v>
      </c>
      <c r="C610" s="57" t="n">
        <v>8</v>
      </c>
      <c r="D610" s="62" t="n">
        <v>26.2</v>
      </c>
      <c r="E610" s="62" t="n">
        <v>54.1</v>
      </c>
      <c r="F610" s="62" t="n">
        <f aca="false">E610*0.7</f>
        <v>37.87</v>
      </c>
      <c r="G610" s="62" t="n">
        <v>0.1</v>
      </c>
      <c r="H610" s="58" t="n">
        <v>7.98</v>
      </c>
      <c r="I610" s="62" t="n">
        <v>25.7</v>
      </c>
      <c r="J610" s="63"/>
      <c r="K610" s="63"/>
      <c r="L610" s="62" t="n">
        <v>0.47</v>
      </c>
      <c r="M610" s="58" t="n">
        <v>7.98</v>
      </c>
      <c r="N610" s="62" t="n">
        <v>25.7</v>
      </c>
      <c r="O610" s="63"/>
      <c r="P610" s="63"/>
      <c r="Q610" s="62" t="n">
        <v>0.52</v>
      </c>
      <c r="R610" s="58" t="n">
        <v>7.93</v>
      </c>
      <c r="S610" s="62" t="n">
        <v>24.9</v>
      </c>
      <c r="T610" s="63"/>
      <c r="U610" s="63"/>
      <c r="V610" s="58" t="n">
        <v>0.11</v>
      </c>
      <c r="W610" s="58" t="n">
        <v>7.93</v>
      </c>
      <c r="X610" s="62" t="n">
        <v>24.9</v>
      </c>
      <c r="Y610" s="63"/>
      <c r="Z610" s="63"/>
      <c r="AA610" s="58" t="n">
        <v>0.03</v>
      </c>
      <c r="AB610" s="58" t="n">
        <v>7.98</v>
      </c>
      <c r="AC610" s="62" t="n">
        <v>24.8</v>
      </c>
      <c r="AD610" s="62" t="n">
        <v>54.1</v>
      </c>
      <c r="AE610" s="62" t="n">
        <f aca="false">AD610*0.7</f>
        <v>37.87</v>
      </c>
      <c r="AF610" s="62"/>
      <c r="AG610" s="58" t="n">
        <v>0.02</v>
      </c>
      <c r="AH610" s="62"/>
      <c r="AI610" s="58" t="n">
        <v>7.98</v>
      </c>
      <c r="AJ610" s="62" t="n">
        <v>24.8</v>
      </c>
      <c r="AK610" s="62" t="n">
        <v>54.1</v>
      </c>
      <c r="AL610" s="62" t="n">
        <f aca="false">AK610*0.7</f>
        <v>37.87</v>
      </c>
      <c r="AM610" s="62"/>
      <c r="AN610" s="58" t="n">
        <v>0.08</v>
      </c>
      <c r="AO610" s="58" t="n">
        <v>6.5</v>
      </c>
      <c r="AP610" s="62" t="n">
        <v>25.6</v>
      </c>
      <c r="AQ610" s="65" t="n">
        <v>409</v>
      </c>
      <c r="AR610" s="62" t="n">
        <f aca="false">0.55*AQ610</f>
        <v>224.95</v>
      </c>
      <c r="AS610" s="58" t="n">
        <v>0.07</v>
      </c>
      <c r="AT610" s="58" t="n">
        <v>8.03</v>
      </c>
      <c r="AU610" s="62" t="n">
        <v>26.4</v>
      </c>
      <c r="AV610" s="62" t="n">
        <v>574</v>
      </c>
      <c r="AW610" s="62" t="n">
        <f aca="false">0.55*AV610</f>
        <v>315.7</v>
      </c>
      <c r="AX610" s="62" t="n">
        <v>0.8</v>
      </c>
      <c r="AY610" s="58" t="n">
        <v>0.26</v>
      </c>
    </row>
    <row r="611" customFormat="false" ht="15" hidden="false" customHeight="false" outlineLevel="0" collapsed="false">
      <c r="A611" s="16" t="n">
        <v>45420</v>
      </c>
      <c r="B611" s="2" t="s">
        <v>52</v>
      </c>
      <c r="C611" s="29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</row>
    <row r="612" customFormat="false" ht="15" hidden="false" customHeight="false" outlineLevel="0" collapsed="false">
      <c r="A612" s="16" t="n">
        <v>45420</v>
      </c>
      <c r="B612" s="2" t="s">
        <v>57</v>
      </c>
      <c r="C612" s="29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</row>
    <row r="613" customFormat="false" ht="16.15" hidden="false" customHeight="false" outlineLevel="0" collapsed="false">
      <c r="A613" s="16" t="n">
        <v>45451</v>
      </c>
      <c r="B613" s="2" t="s">
        <v>51</v>
      </c>
      <c r="C613" s="57" t="n">
        <v>8</v>
      </c>
      <c r="D613" s="62" t="n">
        <v>25.2</v>
      </c>
      <c r="E613" s="62" t="n">
        <v>53.9</v>
      </c>
      <c r="F613" s="62" t="n">
        <f aca="false">E613*0.7</f>
        <v>37.73</v>
      </c>
      <c r="G613" s="62" t="n">
        <v>0.28</v>
      </c>
      <c r="H613" s="58" t="n">
        <v>7.99</v>
      </c>
      <c r="I613" s="62" t="n">
        <v>24</v>
      </c>
      <c r="J613" s="63"/>
      <c r="K613" s="63"/>
      <c r="L613" s="62" t="n">
        <v>0.37</v>
      </c>
      <c r="M613" s="58" t="n">
        <v>7.98</v>
      </c>
      <c r="N613" s="62" t="n">
        <v>24</v>
      </c>
      <c r="O613" s="63"/>
      <c r="P613" s="63"/>
      <c r="Q613" s="62" t="n">
        <v>0.31</v>
      </c>
      <c r="R613" s="58" t="n">
        <v>7.95</v>
      </c>
      <c r="S613" s="62" t="n">
        <v>24</v>
      </c>
      <c r="T613" s="63"/>
      <c r="U613" s="63"/>
      <c r="V613" s="58" t="n">
        <v>0</v>
      </c>
      <c r="W613" s="58" t="n">
        <v>7.96</v>
      </c>
      <c r="X613" s="62" t="n">
        <v>24</v>
      </c>
      <c r="Y613" s="63"/>
      <c r="Z613" s="63"/>
      <c r="AA613" s="58" t="n">
        <v>0</v>
      </c>
      <c r="AB613" s="58" t="n">
        <v>7.95</v>
      </c>
      <c r="AC613" s="62" t="n">
        <v>24.1</v>
      </c>
      <c r="AD613" s="62" t="n">
        <v>53.9</v>
      </c>
      <c r="AE613" s="62" t="n">
        <f aca="false">AD613*0.7</f>
        <v>37.73</v>
      </c>
      <c r="AF613" s="62"/>
      <c r="AG613" s="58" t="n">
        <v>0</v>
      </c>
      <c r="AH613" s="62"/>
      <c r="AI613" s="58" t="n">
        <v>7.94</v>
      </c>
      <c r="AJ613" s="62" t="n">
        <v>24.2</v>
      </c>
      <c r="AK613" s="62" t="n">
        <v>53.9</v>
      </c>
      <c r="AL613" s="62" t="n">
        <f aca="false">AK613*0.7</f>
        <v>37.73</v>
      </c>
      <c r="AM613" s="62"/>
      <c r="AN613" s="58" t="n">
        <v>0</v>
      </c>
      <c r="AO613" s="58" t="n">
        <v>6.35</v>
      </c>
      <c r="AP613" s="62" t="n">
        <v>25</v>
      </c>
      <c r="AQ613" s="65" t="n">
        <v>406</v>
      </c>
      <c r="AR613" s="62" t="n">
        <f aca="false">0.55*AQ613</f>
        <v>223.3</v>
      </c>
      <c r="AS613" s="58" t="n">
        <v>0</v>
      </c>
      <c r="AT613" s="58" t="n">
        <v>8.2</v>
      </c>
      <c r="AU613" s="62" t="n">
        <v>25.4</v>
      </c>
      <c r="AV613" s="62" t="n">
        <v>537</v>
      </c>
      <c r="AW613" s="62" t="n">
        <f aca="false">0.55*AV613</f>
        <v>295.35</v>
      </c>
      <c r="AX613" s="62" t="n">
        <v>0.9</v>
      </c>
      <c r="AY613" s="58" t="n">
        <v>0</v>
      </c>
    </row>
    <row r="614" customFormat="false" ht="15" hidden="false" customHeight="false" outlineLevel="0" collapsed="false">
      <c r="A614" s="16" t="n">
        <v>45451</v>
      </c>
      <c r="B614" s="2" t="s">
        <v>52</v>
      </c>
      <c r="C614" s="29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</row>
    <row r="615" customFormat="false" ht="15" hidden="false" customHeight="false" outlineLevel="0" collapsed="false">
      <c r="A615" s="16" t="n">
        <v>45451</v>
      </c>
      <c r="B615" s="2" t="s">
        <v>57</v>
      </c>
      <c r="C615" s="29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</row>
    <row r="616" customFormat="false" ht="16.15" hidden="false" customHeight="false" outlineLevel="0" collapsed="false">
      <c r="A616" s="16" t="n">
        <v>45481</v>
      </c>
      <c r="B616" s="2" t="s">
        <v>51</v>
      </c>
      <c r="C616" s="57" t="n">
        <v>8.01</v>
      </c>
      <c r="D616" s="62" t="n">
        <v>25</v>
      </c>
      <c r="E616" s="62" t="n">
        <v>53.8</v>
      </c>
      <c r="F616" s="62" t="n">
        <f aca="false">E616*0.7</f>
        <v>37.66</v>
      </c>
      <c r="G616" s="62" t="n">
        <v>0.22</v>
      </c>
      <c r="H616" s="58" t="n">
        <v>7.98</v>
      </c>
      <c r="I616" s="62" t="n">
        <v>24.4</v>
      </c>
      <c r="J616" s="63"/>
      <c r="K616" s="63"/>
      <c r="L616" s="62" t="n">
        <v>0.52</v>
      </c>
      <c r="M616" s="58" t="n">
        <v>7.98</v>
      </c>
      <c r="N616" s="62" t="n">
        <v>24.3</v>
      </c>
      <c r="O616" s="63"/>
      <c r="P616" s="63"/>
      <c r="Q616" s="62" t="n">
        <v>0.38</v>
      </c>
      <c r="R616" s="58" t="n">
        <v>7.97</v>
      </c>
      <c r="S616" s="62" t="n">
        <v>24</v>
      </c>
      <c r="T616" s="63"/>
      <c r="U616" s="63"/>
      <c r="V616" s="58" t="n">
        <v>0</v>
      </c>
      <c r="W616" s="58" t="n">
        <v>7.96</v>
      </c>
      <c r="X616" s="62" t="n">
        <v>23.6</v>
      </c>
      <c r="Y616" s="63"/>
      <c r="Z616" s="63"/>
      <c r="AA616" s="58" t="n">
        <v>0.09</v>
      </c>
      <c r="AB616" s="58" t="n">
        <v>7.96</v>
      </c>
      <c r="AC616" s="62" t="n">
        <v>23.7</v>
      </c>
      <c r="AD616" s="62" t="n">
        <v>53.7</v>
      </c>
      <c r="AE616" s="62" t="n">
        <f aca="false">AD616*0.7</f>
        <v>37.59</v>
      </c>
      <c r="AF616" s="62"/>
      <c r="AG616" s="58" t="n">
        <v>0</v>
      </c>
      <c r="AH616" s="62"/>
      <c r="AI616" s="58" t="n">
        <v>7.96</v>
      </c>
      <c r="AJ616" s="62" t="n">
        <v>23.7</v>
      </c>
      <c r="AK616" s="62" t="n">
        <v>53.7</v>
      </c>
      <c r="AL616" s="62" t="n">
        <f aca="false">AK616*0.7</f>
        <v>37.59</v>
      </c>
      <c r="AM616" s="62"/>
      <c r="AN616" s="58" t="n">
        <v>0</v>
      </c>
      <c r="AO616" s="58" t="n">
        <v>6.4</v>
      </c>
      <c r="AP616" s="62" t="n">
        <v>23.7</v>
      </c>
      <c r="AQ616" s="65" t="n">
        <v>614</v>
      </c>
      <c r="AR616" s="62" t="n">
        <f aca="false">AQ616*0.55</f>
        <v>337.7</v>
      </c>
      <c r="AS616" s="58" t="n">
        <v>0</v>
      </c>
      <c r="AT616" s="58" t="n">
        <v>8.17</v>
      </c>
      <c r="AU616" s="62" t="n">
        <v>24.7</v>
      </c>
      <c r="AV616" s="62" t="n">
        <v>525</v>
      </c>
      <c r="AW616" s="62" t="n">
        <f aca="false">AV616*0.55</f>
        <v>288.75</v>
      </c>
      <c r="AX616" s="62" t="n">
        <v>0.8</v>
      </c>
      <c r="AY616" s="58" t="n">
        <v>0</v>
      </c>
    </row>
    <row r="617" customFormat="false" ht="15" hidden="false" customHeight="false" outlineLevel="0" collapsed="false">
      <c r="A617" s="16" t="n">
        <v>45481</v>
      </c>
      <c r="B617" s="2" t="s">
        <v>52</v>
      </c>
      <c r="C617" s="29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</row>
    <row r="618" customFormat="false" ht="15" hidden="false" customHeight="false" outlineLevel="0" collapsed="false">
      <c r="A618" s="16" t="n">
        <v>45481</v>
      </c>
      <c r="B618" s="2" t="s">
        <v>57</v>
      </c>
      <c r="C618" s="29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</row>
    <row r="619" customFormat="false" ht="16.15" hidden="false" customHeight="false" outlineLevel="0" collapsed="false">
      <c r="A619" s="16" t="n">
        <v>45512</v>
      </c>
      <c r="B619" s="2" t="s">
        <v>51</v>
      </c>
      <c r="C619" s="57" t="n">
        <v>8.3</v>
      </c>
      <c r="D619" s="62" t="n">
        <v>24.4</v>
      </c>
      <c r="E619" s="62" t="n">
        <v>53.7</v>
      </c>
      <c r="F619" s="62" t="n">
        <f aca="false">E619*0.7</f>
        <v>37.59</v>
      </c>
      <c r="G619" s="62" t="n">
        <v>0.02</v>
      </c>
      <c r="H619" s="58" t="n">
        <v>8.3</v>
      </c>
      <c r="I619" s="62" t="n">
        <v>22.4</v>
      </c>
      <c r="J619" s="63"/>
      <c r="K619" s="63"/>
      <c r="L619" s="62" t="n">
        <v>0.31</v>
      </c>
      <c r="M619" s="58" t="n">
        <v>8.3</v>
      </c>
      <c r="N619" s="62" t="n">
        <v>22.4</v>
      </c>
      <c r="O619" s="63"/>
      <c r="P619" s="63"/>
      <c r="Q619" s="62" t="n">
        <v>0.26</v>
      </c>
      <c r="R619" s="58" t="n">
        <v>8.3</v>
      </c>
      <c r="S619" s="62" t="n">
        <v>22.4</v>
      </c>
      <c r="T619" s="63"/>
      <c r="U619" s="63"/>
      <c r="V619" s="58" t="n">
        <v>0.09</v>
      </c>
      <c r="W619" s="58" t="n">
        <v>8.3</v>
      </c>
      <c r="X619" s="62" t="n">
        <v>22.4</v>
      </c>
      <c r="Y619" s="63"/>
      <c r="Z619" s="63"/>
      <c r="AA619" s="58" t="n">
        <v>0</v>
      </c>
      <c r="AB619" s="58" t="n">
        <v>8.15</v>
      </c>
      <c r="AC619" s="62" t="n">
        <v>22.2</v>
      </c>
      <c r="AD619" s="62" t="n">
        <v>53.5</v>
      </c>
      <c r="AE619" s="62" t="n">
        <f aca="false">AD619*0.7</f>
        <v>37.45</v>
      </c>
      <c r="AF619" s="62"/>
      <c r="AG619" s="58" t="n">
        <v>0</v>
      </c>
      <c r="AH619" s="62"/>
      <c r="AI619" s="58" t="n">
        <v>8.2</v>
      </c>
      <c r="AJ619" s="62" t="n">
        <v>22.2</v>
      </c>
      <c r="AK619" s="62" t="n">
        <v>53.5</v>
      </c>
      <c r="AL619" s="62" t="n">
        <f aca="false">AK619*0.7</f>
        <v>37.45</v>
      </c>
      <c r="AM619" s="62"/>
      <c r="AN619" s="58" t="n">
        <v>0</v>
      </c>
      <c r="AO619" s="58" t="n">
        <v>6.5</v>
      </c>
      <c r="AP619" s="62" t="n">
        <v>22.8</v>
      </c>
      <c r="AQ619" s="65" t="n">
        <v>350</v>
      </c>
      <c r="AR619" s="62" t="n">
        <f aca="false">0.55*AQ619</f>
        <v>192.5</v>
      </c>
      <c r="AS619" s="58" t="n">
        <v>0</v>
      </c>
      <c r="AT619" s="58" t="n">
        <v>8.09</v>
      </c>
      <c r="AU619" s="62" t="n">
        <v>23.3</v>
      </c>
      <c r="AV619" s="62" t="n">
        <v>503</v>
      </c>
      <c r="AW619" s="62" t="n">
        <f aca="false">0.55*AV619</f>
        <v>276.65</v>
      </c>
      <c r="AX619" s="62" t="n">
        <v>0.8</v>
      </c>
      <c r="AY619" s="58" t="n">
        <v>0.06</v>
      </c>
    </row>
    <row r="620" customFormat="false" ht="15" hidden="false" customHeight="false" outlineLevel="0" collapsed="false">
      <c r="A620" s="16" t="n">
        <v>45512</v>
      </c>
      <c r="B620" s="2" t="s">
        <v>52</v>
      </c>
      <c r="C620" s="29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</row>
    <row r="621" customFormat="false" ht="15" hidden="false" customHeight="false" outlineLevel="0" collapsed="false">
      <c r="A621" s="16" t="n">
        <v>45512</v>
      </c>
      <c r="B621" s="2" t="s">
        <v>57</v>
      </c>
      <c r="C621" s="29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</row>
    <row r="622" customFormat="false" ht="16.15" hidden="false" customHeight="false" outlineLevel="0" collapsed="false">
      <c r="A622" s="16" t="n">
        <v>45543</v>
      </c>
      <c r="B622" s="2" t="s">
        <v>51</v>
      </c>
      <c r="C622" s="57" t="n">
        <v>8.3</v>
      </c>
      <c r="D622" s="62" t="n">
        <v>25</v>
      </c>
      <c r="E622" s="62" t="n">
        <v>53.7</v>
      </c>
      <c r="F622" s="62" t="n">
        <f aca="false">E622*0.7</f>
        <v>37.59</v>
      </c>
      <c r="G622" s="62" t="n">
        <v>0.03</v>
      </c>
      <c r="H622" s="58" t="n">
        <v>8.26</v>
      </c>
      <c r="I622" s="62" t="n">
        <v>24</v>
      </c>
      <c r="J622" s="63"/>
      <c r="K622" s="63"/>
      <c r="L622" s="62" t="n">
        <v>0.1</v>
      </c>
      <c r="M622" s="58" t="n">
        <v>8.26</v>
      </c>
      <c r="N622" s="62" t="n">
        <v>24</v>
      </c>
      <c r="O622" s="63"/>
      <c r="P622" s="63"/>
      <c r="Q622" s="62" t="n">
        <v>0.27</v>
      </c>
      <c r="R622" s="58" t="n">
        <v>8.25</v>
      </c>
      <c r="S622" s="62" t="n">
        <v>24</v>
      </c>
      <c r="T622" s="63"/>
      <c r="U622" s="63"/>
      <c r="V622" s="58" t="n">
        <v>0</v>
      </c>
      <c r="W622" s="58" t="n">
        <v>8.25</v>
      </c>
      <c r="X622" s="62" t="n">
        <v>23.8</v>
      </c>
      <c r="Y622" s="63"/>
      <c r="Z622" s="63"/>
      <c r="AA622" s="58" t="n">
        <v>0</v>
      </c>
      <c r="AB622" s="58" t="n">
        <v>8.2</v>
      </c>
      <c r="AC622" s="62" t="n">
        <v>23.8</v>
      </c>
      <c r="AD622" s="62" t="n">
        <v>53.6</v>
      </c>
      <c r="AE622" s="62" t="n">
        <f aca="false">AD622*0.7</f>
        <v>37.52</v>
      </c>
      <c r="AF622" s="62"/>
      <c r="AG622" s="58" t="n">
        <v>0</v>
      </c>
      <c r="AH622" s="62"/>
      <c r="AI622" s="58" t="n">
        <v>8.2</v>
      </c>
      <c r="AJ622" s="62" t="n">
        <v>23.7</v>
      </c>
      <c r="AK622" s="62" t="n">
        <v>53.6</v>
      </c>
      <c r="AL622" s="62" t="n">
        <f aca="false">AK622*0.7</f>
        <v>37.52</v>
      </c>
      <c r="AM622" s="62"/>
      <c r="AN622" s="58" t="n">
        <v>0</v>
      </c>
      <c r="AO622" s="58" t="n">
        <v>6.5</v>
      </c>
      <c r="AP622" s="62" t="n">
        <v>24</v>
      </c>
      <c r="AQ622" s="65" t="n">
        <v>628</v>
      </c>
      <c r="AR622" s="62" t="n">
        <f aca="false">0.55*AQ622</f>
        <v>345.4</v>
      </c>
      <c r="AS622" s="58" t="n">
        <v>0</v>
      </c>
      <c r="AT622" s="58" t="n">
        <v>8.3</v>
      </c>
      <c r="AU622" s="62" t="n">
        <v>24.2</v>
      </c>
      <c r="AV622" s="62" t="n">
        <v>471</v>
      </c>
      <c r="AW622" s="62" t="n">
        <f aca="false">0.55*AV622</f>
        <v>259.05</v>
      </c>
      <c r="AX622" s="62" t="n">
        <v>0.8</v>
      </c>
      <c r="AY622" s="58" t="n">
        <v>0</v>
      </c>
    </row>
    <row r="623" customFormat="false" ht="15" hidden="false" customHeight="false" outlineLevel="0" collapsed="false">
      <c r="A623" s="16" t="n">
        <v>45543</v>
      </c>
      <c r="B623" s="2" t="s">
        <v>52</v>
      </c>
      <c r="C623" s="29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</row>
    <row r="624" customFormat="false" ht="15" hidden="false" customHeight="false" outlineLevel="0" collapsed="false">
      <c r="A624" s="16" t="n">
        <v>45543</v>
      </c>
      <c r="B624" s="2" t="s">
        <v>57</v>
      </c>
      <c r="C624" s="29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</row>
    <row r="625" customFormat="false" ht="16.15" hidden="false" customHeight="false" outlineLevel="0" collapsed="false">
      <c r="A625" s="16" t="n">
        <v>45573</v>
      </c>
      <c r="B625" s="2" t="s">
        <v>51</v>
      </c>
      <c r="C625" s="57" t="n">
        <v>8.21</v>
      </c>
      <c r="D625" s="62" t="n">
        <v>25.8</v>
      </c>
      <c r="E625" s="62" t="n">
        <v>53.9</v>
      </c>
      <c r="F625" s="62" t="n">
        <f aca="false">E625*0.7</f>
        <v>37.73</v>
      </c>
      <c r="G625" s="62" t="n">
        <v>0.13</v>
      </c>
      <c r="H625" s="58" t="n">
        <v>8.2</v>
      </c>
      <c r="I625" s="62" t="n">
        <v>24.8</v>
      </c>
      <c r="J625" s="63"/>
      <c r="K625" s="63"/>
      <c r="L625" s="62" t="n">
        <v>0.58</v>
      </c>
      <c r="M625" s="58" t="n">
        <v>8.2</v>
      </c>
      <c r="N625" s="62" t="n">
        <v>24.8</v>
      </c>
      <c r="O625" s="63"/>
      <c r="P625" s="63"/>
      <c r="Q625" s="62" t="n">
        <v>0.27</v>
      </c>
      <c r="R625" s="58" t="n">
        <v>8.16</v>
      </c>
      <c r="S625" s="62" t="n">
        <v>24.8</v>
      </c>
      <c r="T625" s="63"/>
      <c r="U625" s="63"/>
      <c r="V625" s="58" t="n">
        <v>0</v>
      </c>
      <c r="W625" s="58" t="n">
        <v>8.16</v>
      </c>
      <c r="X625" s="62" t="n">
        <v>24.6</v>
      </c>
      <c r="Y625" s="63"/>
      <c r="Z625" s="63"/>
      <c r="AA625" s="58" t="n">
        <v>0</v>
      </c>
      <c r="AB625" s="58" t="n">
        <v>8.16</v>
      </c>
      <c r="AC625" s="62" t="n">
        <v>24.5</v>
      </c>
      <c r="AD625" s="62" t="n">
        <v>53.8</v>
      </c>
      <c r="AE625" s="62" t="n">
        <f aca="false">AD625*0.7</f>
        <v>37.66</v>
      </c>
      <c r="AF625" s="62"/>
      <c r="AG625" s="58" t="n">
        <v>0</v>
      </c>
      <c r="AH625" s="62"/>
      <c r="AI625" s="58" t="n">
        <v>8.17</v>
      </c>
      <c r="AJ625" s="62" t="n">
        <v>24.5</v>
      </c>
      <c r="AK625" s="62" t="n">
        <v>53.8</v>
      </c>
      <c r="AL625" s="62" t="n">
        <f aca="false">AK625*0.7</f>
        <v>37.66</v>
      </c>
      <c r="AM625" s="62"/>
      <c r="AN625" s="58" t="n">
        <v>0</v>
      </c>
      <c r="AO625" s="58" t="n">
        <v>6.85</v>
      </c>
      <c r="AP625" s="62" t="n">
        <v>25.2</v>
      </c>
      <c r="AQ625" s="65" t="n">
        <v>580</v>
      </c>
      <c r="AR625" s="62" t="n">
        <f aca="false">0.55*AQ625</f>
        <v>319</v>
      </c>
      <c r="AS625" s="58" t="n">
        <v>0</v>
      </c>
      <c r="AT625" s="58" t="n">
        <v>8.18</v>
      </c>
      <c r="AU625" s="62" t="n">
        <v>25.4</v>
      </c>
      <c r="AV625" s="62" t="n">
        <v>479</v>
      </c>
      <c r="AW625" s="62" t="n">
        <f aca="false">0.55*AV625</f>
        <v>263.45</v>
      </c>
      <c r="AX625" s="62" t="n">
        <v>0.8</v>
      </c>
      <c r="AY625" s="58" t="n">
        <v>0</v>
      </c>
    </row>
    <row r="626" customFormat="false" ht="15" hidden="false" customHeight="false" outlineLevel="0" collapsed="false">
      <c r="A626" s="16" t="n">
        <v>45573</v>
      </c>
      <c r="B626" s="2" t="s">
        <v>52</v>
      </c>
      <c r="C626" s="29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</row>
    <row r="627" customFormat="false" ht="15" hidden="false" customHeight="false" outlineLevel="0" collapsed="false">
      <c r="A627" s="16" t="n">
        <v>45573</v>
      </c>
      <c r="B627" s="2" t="s">
        <v>57</v>
      </c>
      <c r="C627" s="29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</row>
    <row r="628" customFormat="false" ht="16.15" hidden="false" customHeight="false" outlineLevel="0" collapsed="false">
      <c r="A628" s="16" t="n">
        <v>45604</v>
      </c>
      <c r="B628" s="2" t="s">
        <v>51</v>
      </c>
      <c r="C628" s="57" t="n">
        <v>8.25</v>
      </c>
      <c r="D628" s="62" t="n">
        <v>24.2</v>
      </c>
      <c r="E628" s="62" t="n">
        <v>53.8</v>
      </c>
      <c r="F628" s="62" t="n">
        <f aca="false">E628*0.7</f>
        <v>37.66</v>
      </c>
      <c r="G628" s="62" t="n">
        <v>0.1</v>
      </c>
      <c r="H628" s="58" t="n">
        <v>8.22</v>
      </c>
      <c r="I628" s="62" t="n">
        <v>24</v>
      </c>
      <c r="J628" s="63"/>
      <c r="K628" s="63"/>
      <c r="L628" s="62" t="n">
        <v>0.39</v>
      </c>
      <c r="M628" s="58" t="n">
        <v>8.2</v>
      </c>
      <c r="N628" s="62" t="n">
        <v>24</v>
      </c>
      <c r="O628" s="63"/>
      <c r="P628" s="63"/>
      <c r="Q628" s="62" t="n">
        <v>0.38</v>
      </c>
      <c r="R628" s="58" t="n">
        <v>8.2</v>
      </c>
      <c r="S628" s="62" t="n">
        <v>23</v>
      </c>
      <c r="T628" s="63"/>
      <c r="U628" s="63"/>
      <c r="V628" s="58" t="n">
        <v>0</v>
      </c>
      <c r="W628" s="58" t="n">
        <v>8.16</v>
      </c>
      <c r="X628" s="62" t="n">
        <v>22.9</v>
      </c>
      <c r="Y628" s="63"/>
      <c r="Z628" s="63"/>
      <c r="AA628" s="58" t="n">
        <v>0</v>
      </c>
      <c r="AB628" s="58" t="n">
        <v>8.16</v>
      </c>
      <c r="AC628" s="62" t="n">
        <v>22.9</v>
      </c>
      <c r="AD628" s="62" t="n">
        <v>53.7</v>
      </c>
      <c r="AE628" s="62" t="n">
        <f aca="false">AD628*0.7</f>
        <v>37.59</v>
      </c>
      <c r="AF628" s="62"/>
      <c r="AG628" s="58" t="n">
        <v>0</v>
      </c>
      <c r="AH628" s="62"/>
      <c r="AI628" s="58" t="n">
        <v>8.15</v>
      </c>
      <c r="AJ628" s="62" t="n">
        <v>22.8</v>
      </c>
      <c r="AK628" s="62" t="n">
        <v>53.7</v>
      </c>
      <c r="AL628" s="62" t="n">
        <f aca="false">AK628*0.7</f>
        <v>37.59</v>
      </c>
      <c r="AM628" s="62"/>
      <c r="AN628" s="58" t="n">
        <v>0</v>
      </c>
      <c r="AO628" s="58" t="n">
        <v>6.71</v>
      </c>
      <c r="AP628" s="62" t="n">
        <v>23.1</v>
      </c>
      <c r="AQ628" s="65" t="n">
        <v>322</v>
      </c>
      <c r="AR628" s="62" t="n">
        <f aca="false">0.55*AQ628</f>
        <v>177.1</v>
      </c>
      <c r="AS628" s="58" t="n">
        <v>0</v>
      </c>
      <c r="AT628" s="58" t="n">
        <v>8.14</v>
      </c>
      <c r="AU628" s="62" t="n">
        <v>23.9</v>
      </c>
      <c r="AV628" s="62" t="n">
        <v>490</v>
      </c>
      <c r="AW628" s="62" t="n">
        <f aca="false">0.55*AV628</f>
        <v>269.5</v>
      </c>
      <c r="AX628" s="62" t="n">
        <v>1</v>
      </c>
      <c r="AY628" s="58" t="n">
        <v>0</v>
      </c>
    </row>
    <row r="629" customFormat="false" ht="16.15" hidden="false" customHeight="false" outlineLevel="0" collapsed="false">
      <c r="A629" s="16" t="s">
        <v>166</v>
      </c>
      <c r="B629" s="2" t="s">
        <v>51</v>
      </c>
      <c r="C629" s="57" t="n">
        <v>8.29</v>
      </c>
      <c r="D629" s="62" t="n">
        <v>25.2</v>
      </c>
      <c r="E629" s="62" t="n">
        <v>54</v>
      </c>
      <c r="F629" s="62" t="n">
        <f aca="false">E629*0.7</f>
        <v>37.8</v>
      </c>
      <c r="G629" s="62" t="n">
        <v>0.82</v>
      </c>
      <c r="H629" s="58" t="n">
        <v>8.27</v>
      </c>
      <c r="I629" s="62" t="n">
        <v>24.7</v>
      </c>
      <c r="J629" s="63"/>
      <c r="K629" s="63"/>
      <c r="L629" s="62" t="n">
        <v>1.47</v>
      </c>
      <c r="M629" s="58" t="n">
        <v>8.27</v>
      </c>
      <c r="N629" s="62" t="n">
        <v>24.7</v>
      </c>
      <c r="O629" s="63"/>
      <c r="P629" s="63"/>
      <c r="Q629" s="62" t="n">
        <v>0.59</v>
      </c>
      <c r="R629" s="58" t="n">
        <v>8.26</v>
      </c>
      <c r="S629" s="62" t="n">
        <v>24.6</v>
      </c>
      <c r="T629" s="63"/>
      <c r="U629" s="63"/>
      <c r="V629" s="58" t="n">
        <v>0.17</v>
      </c>
      <c r="W629" s="58" t="n">
        <v>8.24</v>
      </c>
      <c r="X629" s="62" t="n">
        <v>24.6</v>
      </c>
      <c r="Y629" s="63"/>
      <c r="Z629" s="63"/>
      <c r="AA629" s="58" t="n">
        <v>0.15</v>
      </c>
      <c r="AB629" s="58" t="n">
        <v>8.25</v>
      </c>
      <c r="AC629" s="62" t="n">
        <v>24.4</v>
      </c>
      <c r="AD629" s="62" t="n">
        <v>54</v>
      </c>
      <c r="AE629" s="62" t="n">
        <f aca="false">AD629*0.7</f>
        <v>37.8</v>
      </c>
      <c r="AF629" s="62"/>
      <c r="AG629" s="58" t="n">
        <v>0.03</v>
      </c>
      <c r="AH629" s="62"/>
      <c r="AI629" s="58" t="n">
        <v>8.25</v>
      </c>
      <c r="AJ629" s="62" t="n">
        <v>24.8</v>
      </c>
      <c r="AK629" s="62" t="n">
        <v>54</v>
      </c>
      <c r="AL629" s="62" t="n">
        <f aca="false">AK629*0.7</f>
        <v>37.8</v>
      </c>
      <c r="AM629" s="62"/>
      <c r="AN629" s="58" t="n">
        <v>0.03</v>
      </c>
      <c r="AO629" s="58" t="n">
        <v>6.72</v>
      </c>
      <c r="AP629" s="62" t="n">
        <v>25.1</v>
      </c>
      <c r="AQ629" s="65" t="n">
        <v>442</v>
      </c>
      <c r="AR629" s="62" t="n">
        <f aca="false">0.55*AQ629</f>
        <v>243.1</v>
      </c>
      <c r="AS629" s="58" t="n">
        <v>0.01</v>
      </c>
      <c r="AT629" s="58" t="n">
        <v>8.22</v>
      </c>
      <c r="AU629" s="62" t="n">
        <v>24.9</v>
      </c>
      <c r="AV629" s="62" t="n">
        <v>615</v>
      </c>
      <c r="AW629" s="62" t="n">
        <f aca="false">0.55*AV629</f>
        <v>338.25</v>
      </c>
      <c r="AX629" s="62" t="n">
        <v>0.6</v>
      </c>
      <c r="AY629" s="58" t="n">
        <v>0.01</v>
      </c>
    </row>
    <row r="630" customFormat="false" ht="15" hidden="false" customHeight="false" outlineLevel="0" collapsed="false">
      <c r="A630" s="16" t="s">
        <v>166</v>
      </c>
      <c r="B630" s="2" t="s">
        <v>52</v>
      </c>
      <c r="C630" s="29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</row>
    <row r="631" customFormat="false" ht="15" hidden="false" customHeight="false" outlineLevel="0" collapsed="false">
      <c r="A631" s="16" t="s">
        <v>166</v>
      </c>
      <c r="B631" s="2" t="s">
        <v>57</v>
      </c>
      <c r="C631" s="29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</row>
    <row r="632" customFormat="false" ht="16.15" hidden="false" customHeight="false" outlineLevel="0" collapsed="false">
      <c r="A632" s="16" t="s">
        <v>167</v>
      </c>
      <c r="B632" s="2" t="s">
        <v>51</v>
      </c>
      <c r="C632" s="57" t="n">
        <v>8.31</v>
      </c>
      <c r="D632" s="62" t="n">
        <v>25.4</v>
      </c>
      <c r="E632" s="62" t="n">
        <v>53.8</v>
      </c>
      <c r="F632" s="62" t="n">
        <f aca="false">E632*0.7</f>
        <v>37.66</v>
      </c>
      <c r="G632" s="62" t="n">
        <v>0.18</v>
      </c>
      <c r="H632" s="58" t="n">
        <v>8.28</v>
      </c>
      <c r="I632" s="62" t="n">
        <v>25.2</v>
      </c>
      <c r="J632" s="63"/>
      <c r="K632" s="63"/>
      <c r="L632" s="62" t="n">
        <v>0.86</v>
      </c>
      <c r="M632" s="58" t="n">
        <v>8.28</v>
      </c>
      <c r="N632" s="62" t="n">
        <v>25.3</v>
      </c>
      <c r="O632" s="63"/>
      <c r="P632" s="63"/>
      <c r="Q632" s="62" t="n">
        <v>0.59</v>
      </c>
      <c r="R632" s="58" t="n">
        <v>8.25</v>
      </c>
      <c r="S632" s="62" t="n">
        <v>25</v>
      </c>
      <c r="T632" s="63"/>
      <c r="U632" s="63"/>
      <c r="V632" s="58" t="n">
        <v>0.06</v>
      </c>
      <c r="W632" s="58" t="n">
        <v>8.25</v>
      </c>
      <c r="X632" s="62" t="n">
        <v>25</v>
      </c>
      <c r="Y632" s="63"/>
      <c r="Z632" s="63"/>
      <c r="AA632" s="58" t="n">
        <v>0.08</v>
      </c>
      <c r="AB632" s="58" t="n">
        <v>8.2</v>
      </c>
      <c r="AC632" s="62" t="n">
        <v>24.8</v>
      </c>
      <c r="AD632" s="62" t="n">
        <v>53.7</v>
      </c>
      <c r="AE632" s="62" t="n">
        <f aca="false">AD632*0.7</f>
        <v>37.59</v>
      </c>
      <c r="AF632" s="62"/>
      <c r="AG632" s="58" t="n">
        <v>0</v>
      </c>
      <c r="AH632" s="62"/>
      <c r="AI632" s="58" t="n">
        <v>8.2</v>
      </c>
      <c r="AJ632" s="62" t="n">
        <v>24.8</v>
      </c>
      <c r="AK632" s="62" t="n">
        <v>53.7</v>
      </c>
      <c r="AL632" s="62" t="n">
        <f aca="false">AK632*0.7</f>
        <v>37.59</v>
      </c>
      <c r="AM632" s="62"/>
      <c r="AN632" s="58" t="n">
        <v>0</v>
      </c>
      <c r="AO632" s="58" t="n">
        <v>6.8</v>
      </c>
      <c r="AP632" s="62" t="n">
        <v>25</v>
      </c>
      <c r="AQ632" s="65" t="n">
        <v>638</v>
      </c>
      <c r="AR632" s="62" t="n">
        <f aca="false">0.55*AQ632</f>
        <v>350.9</v>
      </c>
      <c r="AS632" s="58" t="n">
        <v>0</v>
      </c>
      <c r="AT632" s="58" t="n">
        <v>8.18</v>
      </c>
      <c r="AU632" s="62" t="n">
        <v>24.9</v>
      </c>
      <c r="AV632" s="62" t="n">
        <v>579</v>
      </c>
      <c r="AW632" s="62" t="n">
        <f aca="false">0.55*AV632</f>
        <v>318.45</v>
      </c>
      <c r="AX632" s="62" t="n">
        <v>0.9</v>
      </c>
      <c r="AY632" s="58" t="n">
        <v>0.02</v>
      </c>
    </row>
    <row r="633" customFormat="false" ht="15" hidden="false" customHeight="false" outlineLevel="0" collapsed="false">
      <c r="A633" s="16" t="s">
        <v>167</v>
      </c>
      <c r="B633" s="2" t="s">
        <v>52</v>
      </c>
      <c r="C633" s="29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</row>
    <row r="634" customFormat="false" ht="15" hidden="false" customHeight="false" outlineLevel="0" collapsed="false">
      <c r="A634" s="16" t="s">
        <v>167</v>
      </c>
      <c r="B634" s="2" t="s">
        <v>57</v>
      </c>
      <c r="C634" s="29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</row>
    <row r="635" customFormat="false" ht="16.15" hidden="false" customHeight="false" outlineLevel="0" collapsed="false">
      <c r="A635" s="16" t="s">
        <v>168</v>
      </c>
      <c r="B635" s="2" t="s">
        <v>51</v>
      </c>
      <c r="C635" s="57" t="n">
        <v>8.3</v>
      </c>
      <c r="D635" s="62" t="n">
        <v>26.2</v>
      </c>
      <c r="E635" s="62" t="n">
        <v>53.9</v>
      </c>
      <c r="F635" s="62" t="n">
        <f aca="false">E635*0.7</f>
        <v>37.73</v>
      </c>
      <c r="G635" s="62" t="n">
        <v>0.18</v>
      </c>
      <c r="H635" s="58" t="n">
        <v>8.28</v>
      </c>
      <c r="I635" s="62" t="n">
        <v>25.9</v>
      </c>
      <c r="J635" s="63"/>
      <c r="K635" s="63"/>
      <c r="L635" s="62" t="n">
        <v>0.81</v>
      </c>
      <c r="M635" s="58" t="n">
        <v>8.27</v>
      </c>
      <c r="N635" s="62" t="n">
        <v>25.9</v>
      </c>
      <c r="O635" s="63"/>
      <c r="P635" s="63"/>
      <c r="Q635" s="62" t="n">
        <v>0.6</v>
      </c>
      <c r="R635" s="58" t="n">
        <v>8.27</v>
      </c>
      <c r="S635" s="62" t="n">
        <v>25.8</v>
      </c>
      <c r="T635" s="63"/>
      <c r="U635" s="63"/>
      <c r="V635" s="58" t="n">
        <v>0.06</v>
      </c>
      <c r="W635" s="58" t="n">
        <v>8.26</v>
      </c>
      <c r="X635" s="62" t="n">
        <v>25.8</v>
      </c>
      <c r="Y635" s="63"/>
      <c r="Z635" s="63"/>
      <c r="AA635" s="58" t="n">
        <v>0.08</v>
      </c>
      <c r="AB635" s="58" t="n">
        <v>8.26</v>
      </c>
      <c r="AC635" s="62" t="n">
        <v>25.8</v>
      </c>
      <c r="AD635" s="62" t="n">
        <v>53.8</v>
      </c>
      <c r="AE635" s="62" t="n">
        <f aca="false">AD635*0.7</f>
        <v>37.66</v>
      </c>
      <c r="AF635" s="62"/>
      <c r="AG635" s="58" t="n">
        <v>0.02</v>
      </c>
      <c r="AH635" s="62"/>
      <c r="AI635" s="58" t="n">
        <v>8.24</v>
      </c>
      <c r="AJ635" s="62" t="n">
        <v>26</v>
      </c>
      <c r="AK635" s="62" t="n">
        <v>53.8</v>
      </c>
      <c r="AL635" s="62" t="n">
        <f aca="false">AK635*0.7</f>
        <v>37.66</v>
      </c>
      <c r="AM635" s="62"/>
      <c r="AN635" s="58" t="n">
        <v>0.01</v>
      </c>
      <c r="AO635" s="58" t="n">
        <v>6.78</v>
      </c>
      <c r="AP635" s="62" t="n">
        <v>27</v>
      </c>
      <c r="AQ635" s="65" t="n">
        <v>429</v>
      </c>
      <c r="AR635" s="62" t="n">
        <f aca="false">0.55*AQ635</f>
        <v>235.95</v>
      </c>
      <c r="AS635" s="58" t="n">
        <v>0.01</v>
      </c>
      <c r="AT635" s="58" t="n">
        <v>8.18</v>
      </c>
      <c r="AU635" s="62" t="n">
        <v>27.1</v>
      </c>
      <c r="AV635" s="62" t="n">
        <v>625</v>
      </c>
      <c r="AW635" s="62" t="n">
        <f aca="false">0.55*AV635</f>
        <v>343.75</v>
      </c>
      <c r="AX635" s="62" t="n">
        <v>0.8</v>
      </c>
      <c r="AY635" s="58" t="n">
        <v>0.09</v>
      </c>
    </row>
    <row r="636" customFormat="false" ht="15" hidden="false" customHeight="false" outlineLevel="0" collapsed="false">
      <c r="A636" s="16" t="s">
        <v>168</v>
      </c>
      <c r="B636" s="2" t="s">
        <v>52</v>
      </c>
      <c r="C636" s="29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</row>
    <row r="637" customFormat="false" ht="15" hidden="false" customHeight="false" outlineLevel="0" collapsed="false">
      <c r="A637" s="16" t="s">
        <v>168</v>
      </c>
      <c r="B637" s="2" t="s">
        <v>57</v>
      </c>
      <c r="C637" s="29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</row>
    <row r="638" customFormat="false" ht="16.15" hidden="false" customHeight="false" outlineLevel="0" collapsed="false">
      <c r="A638" s="16" t="s">
        <v>169</v>
      </c>
      <c r="B638" s="2" t="s">
        <v>51</v>
      </c>
      <c r="C638" s="57" t="n">
        <v>8.29</v>
      </c>
      <c r="D638" s="62" t="n">
        <v>26</v>
      </c>
      <c r="E638" s="62" t="n">
        <v>53.8</v>
      </c>
      <c r="F638" s="62" t="n">
        <f aca="false">E638*0.7</f>
        <v>37.66</v>
      </c>
      <c r="G638" s="62" t="n">
        <v>0.14</v>
      </c>
      <c r="H638" s="58" t="n">
        <v>8.27</v>
      </c>
      <c r="I638" s="62" t="n">
        <v>25.6</v>
      </c>
      <c r="J638" s="63"/>
      <c r="K638" s="63"/>
      <c r="L638" s="62" t="n">
        <v>0.34</v>
      </c>
      <c r="M638" s="58" t="n">
        <v>8.28</v>
      </c>
      <c r="N638" s="62" t="n">
        <v>25.6</v>
      </c>
      <c r="O638" s="63"/>
      <c r="P638" s="63"/>
      <c r="Q638" s="62" t="n">
        <v>0.26</v>
      </c>
      <c r="R638" s="58" t="n">
        <v>8.29</v>
      </c>
      <c r="S638" s="62" t="n">
        <v>25.3</v>
      </c>
      <c r="T638" s="63"/>
      <c r="U638" s="63"/>
      <c r="V638" s="58" t="n">
        <v>0</v>
      </c>
      <c r="W638" s="58" t="n">
        <v>8.25</v>
      </c>
      <c r="X638" s="62" t="n">
        <v>25.3</v>
      </c>
      <c r="Y638" s="63"/>
      <c r="Z638" s="63"/>
      <c r="AA638" s="58" t="n">
        <v>0</v>
      </c>
      <c r="AB638" s="58" t="n">
        <v>8.25</v>
      </c>
      <c r="AC638" s="62" t="n">
        <v>25.7</v>
      </c>
      <c r="AD638" s="62" t="n">
        <v>53.7</v>
      </c>
      <c r="AE638" s="62" t="n">
        <f aca="false">AD638*0.7</f>
        <v>37.59</v>
      </c>
      <c r="AF638" s="62"/>
      <c r="AG638" s="58" t="n">
        <v>0</v>
      </c>
      <c r="AH638" s="62"/>
      <c r="AI638" s="58" t="n">
        <v>8.24</v>
      </c>
      <c r="AJ638" s="62" t="n">
        <v>25.7</v>
      </c>
      <c r="AK638" s="62" t="n">
        <v>53.7</v>
      </c>
      <c r="AL638" s="62" t="n">
        <f aca="false">AK638*0.7</f>
        <v>37.59</v>
      </c>
      <c r="AM638" s="62"/>
      <c r="AN638" s="58" t="n">
        <v>0</v>
      </c>
      <c r="AO638" s="58" t="n">
        <v>6.66</v>
      </c>
      <c r="AP638" s="62" t="n">
        <v>26.8</v>
      </c>
      <c r="AQ638" s="65" t="n">
        <v>638</v>
      </c>
      <c r="AR638" s="62" t="n">
        <f aca="false">0.55*AQ638</f>
        <v>350.9</v>
      </c>
      <c r="AS638" s="58" t="n">
        <v>0</v>
      </c>
      <c r="AT638" s="58" t="n">
        <v>8.15</v>
      </c>
      <c r="AU638" s="62" t="n">
        <v>27.7</v>
      </c>
      <c r="AV638" s="62" t="n">
        <v>579</v>
      </c>
      <c r="AW638" s="62" t="n">
        <f aca="false">0.55*AV638</f>
        <v>318.45</v>
      </c>
      <c r="AX638" s="62" t="n">
        <v>0.8</v>
      </c>
      <c r="AY638" s="58" t="n">
        <v>0.03</v>
      </c>
    </row>
    <row r="639" customFormat="false" ht="15" hidden="false" customHeight="false" outlineLevel="0" collapsed="false">
      <c r="A639" s="16" t="s">
        <v>169</v>
      </c>
      <c r="B639" s="2" t="s">
        <v>52</v>
      </c>
      <c r="C639" s="29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</row>
    <row r="640" customFormat="false" ht="15" hidden="false" customHeight="false" outlineLevel="0" collapsed="false">
      <c r="A640" s="16" t="s">
        <v>169</v>
      </c>
      <c r="B640" s="2" t="s">
        <v>57</v>
      </c>
      <c r="C640" s="29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</row>
    <row r="641" customFormat="false" ht="16.15" hidden="false" customHeight="false" outlineLevel="0" collapsed="false">
      <c r="A641" s="16" t="s">
        <v>170</v>
      </c>
      <c r="B641" s="2" t="s">
        <v>51</v>
      </c>
      <c r="C641" s="57" t="n">
        <v>8.3</v>
      </c>
      <c r="D641" s="62" t="n">
        <v>27.3</v>
      </c>
      <c r="E641" s="62" t="n">
        <v>53.8</v>
      </c>
      <c r="F641" s="62" t="n">
        <f aca="false">E641*0.7</f>
        <v>37.66</v>
      </c>
      <c r="G641" s="62" t="n">
        <v>0.16</v>
      </c>
      <c r="H641" s="58" t="n">
        <v>8.29</v>
      </c>
      <c r="I641" s="62" t="n">
        <v>26.8</v>
      </c>
      <c r="J641" s="63"/>
      <c r="K641" s="63"/>
      <c r="L641" s="62" t="n">
        <v>0.72</v>
      </c>
      <c r="M641" s="58" t="n">
        <v>8.27</v>
      </c>
      <c r="N641" s="62" t="n">
        <v>26.9</v>
      </c>
      <c r="O641" s="63"/>
      <c r="P641" s="63"/>
      <c r="Q641" s="62" t="n">
        <v>0.52</v>
      </c>
      <c r="R641" s="58" t="n">
        <v>8.27</v>
      </c>
      <c r="S641" s="62" t="n">
        <v>27</v>
      </c>
      <c r="T641" s="63"/>
      <c r="U641" s="63"/>
      <c r="V641" s="58" t="n">
        <v>0.1</v>
      </c>
      <c r="W641" s="58" t="n">
        <v>8.26</v>
      </c>
      <c r="X641" s="62" t="n">
        <v>27</v>
      </c>
      <c r="Y641" s="63"/>
      <c r="Z641" s="63"/>
      <c r="AA641" s="58" t="n">
        <v>0.12</v>
      </c>
      <c r="AB641" s="58" t="n">
        <v>8.25</v>
      </c>
      <c r="AC641" s="62" t="n">
        <v>26.8</v>
      </c>
      <c r="AD641" s="62" t="n">
        <v>53.7</v>
      </c>
      <c r="AE641" s="62" t="n">
        <f aca="false">AD641*0.7</f>
        <v>37.59</v>
      </c>
      <c r="AF641" s="62"/>
      <c r="AG641" s="58" t="n">
        <v>0.02</v>
      </c>
      <c r="AH641" s="62"/>
      <c r="AI641" s="58" t="n">
        <v>8.24</v>
      </c>
      <c r="AJ641" s="62" t="n">
        <v>26.7</v>
      </c>
      <c r="AK641" s="62" t="n">
        <v>53.7</v>
      </c>
      <c r="AL641" s="62" t="n">
        <f aca="false">AK641*0.7</f>
        <v>37.59</v>
      </c>
      <c r="AM641" s="62"/>
      <c r="AN641" s="58" t="n">
        <v>0.01</v>
      </c>
      <c r="AO641" s="58" t="n">
        <v>6.78</v>
      </c>
      <c r="AP641" s="62" t="n">
        <v>27</v>
      </c>
      <c r="AQ641" s="65" t="n">
        <v>638</v>
      </c>
      <c r="AR641" s="62" t="n">
        <f aca="false">0.55*AQ641</f>
        <v>350.9</v>
      </c>
      <c r="AS641" s="58" t="n">
        <v>0.01</v>
      </c>
      <c r="AT641" s="58" t="n">
        <v>8.21</v>
      </c>
      <c r="AU641" s="62" t="n">
        <v>26.5</v>
      </c>
      <c r="AV641" s="62" t="n">
        <v>579</v>
      </c>
      <c r="AW641" s="62" t="n">
        <f aca="false">0.55*AV641</f>
        <v>318.45</v>
      </c>
      <c r="AX641" s="62" t="n">
        <v>0.8</v>
      </c>
      <c r="AY641" s="58" t="n">
        <v>0.03</v>
      </c>
    </row>
    <row r="642" customFormat="false" ht="15" hidden="false" customHeight="false" outlineLevel="0" collapsed="false">
      <c r="A642" s="16" t="s">
        <v>170</v>
      </c>
      <c r="B642" s="2" t="s">
        <v>52</v>
      </c>
      <c r="C642" s="29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</row>
    <row r="643" customFormat="false" ht="15" hidden="false" customHeight="false" outlineLevel="0" collapsed="false">
      <c r="A643" s="16" t="s">
        <v>170</v>
      </c>
      <c r="B643" s="2" t="s">
        <v>57</v>
      </c>
      <c r="C643" s="29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</row>
    <row r="644" customFormat="false" ht="16.15" hidden="false" customHeight="false" outlineLevel="0" collapsed="false">
      <c r="A644" s="16" t="s">
        <v>171</v>
      </c>
      <c r="B644" s="2" t="s">
        <v>51</v>
      </c>
      <c r="C644" s="57" t="n">
        <v>8.3</v>
      </c>
      <c r="D644" s="62" t="n">
        <v>29</v>
      </c>
      <c r="E644" s="62" t="n">
        <v>54.1</v>
      </c>
      <c r="F644" s="62" t="n">
        <f aca="false">E644*0.7</f>
        <v>37.87</v>
      </c>
      <c r="G644" s="62" t="n">
        <v>0.29</v>
      </c>
      <c r="H644" s="58" t="n">
        <v>8.29</v>
      </c>
      <c r="I644" s="62" t="n">
        <v>28</v>
      </c>
      <c r="J644" s="63"/>
      <c r="K644" s="63"/>
      <c r="L644" s="62" t="n">
        <v>0.85</v>
      </c>
      <c r="M644" s="58" t="n">
        <v>8.24</v>
      </c>
      <c r="N644" s="62" t="n">
        <v>28</v>
      </c>
      <c r="O644" s="63"/>
      <c r="P644" s="63"/>
      <c r="Q644" s="62" t="n">
        <v>0.31</v>
      </c>
      <c r="R644" s="58" t="n">
        <v>8.28</v>
      </c>
      <c r="S644" s="62" t="n">
        <v>27.6</v>
      </c>
      <c r="T644" s="63"/>
      <c r="U644" s="63"/>
      <c r="V644" s="58" t="n">
        <v>0.03</v>
      </c>
      <c r="W644" s="58" t="n">
        <v>8.27</v>
      </c>
      <c r="X644" s="62" t="n">
        <v>27.5</v>
      </c>
      <c r="Y644" s="63"/>
      <c r="Z644" s="63"/>
      <c r="AA644" s="58" t="n">
        <v>0.01</v>
      </c>
      <c r="AB644" s="58" t="n">
        <v>8.27</v>
      </c>
      <c r="AC644" s="62" t="n">
        <v>27.2</v>
      </c>
      <c r="AD644" s="62" t="n">
        <v>54</v>
      </c>
      <c r="AE644" s="62" t="n">
        <f aca="false">AD644*0.7</f>
        <v>37.8</v>
      </c>
      <c r="AF644" s="62"/>
      <c r="AG644" s="58" t="n">
        <v>0</v>
      </c>
      <c r="AH644" s="62"/>
      <c r="AI644" s="58" t="n">
        <v>8.27</v>
      </c>
      <c r="AJ644" s="62" t="n">
        <v>27.2</v>
      </c>
      <c r="AK644" s="62" t="n">
        <v>54</v>
      </c>
      <c r="AL644" s="62" t="n">
        <f aca="false">AK644*0.7</f>
        <v>37.8</v>
      </c>
      <c r="AM644" s="62"/>
      <c r="AN644" s="58" t="n">
        <v>0</v>
      </c>
      <c r="AO644" s="58" t="n">
        <v>6.7</v>
      </c>
      <c r="AP644" s="62" t="n">
        <v>27.4</v>
      </c>
      <c r="AQ644" s="65" t="n">
        <v>640</v>
      </c>
      <c r="AR644" s="62" t="n">
        <f aca="false">0.55*AQ644</f>
        <v>352</v>
      </c>
      <c r="AS644" s="58" t="n">
        <v>0</v>
      </c>
      <c r="AT644" s="58" t="n">
        <v>8.21</v>
      </c>
      <c r="AU644" s="62" t="n">
        <v>27.4</v>
      </c>
      <c r="AV644" s="62" t="n">
        <v>682</v>
      </c>
      <c r="AW644" s="62" t="n">
        <f aca="false">0.55*AV644</f>
        <v>375.1</v>
      </c>
      <c r="AX644" s="62" t="n">
        <v>0.8</v>
      </c>
      <c r="AY644" s="58" t="n">
        <v>0</v>
      </c>
    </row>
    <row r="645" customFormat="false" ht="15" hidden="false" customHeight="false" outlineLevel="0" collapsed="false">
      <c r="A645" s="16" t="s">
        <v>171</v>
      </c>
      <c r="B645" s="2" t="s">
        <v>52</v>
      </c>
      <c r="C645" s="29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</row>
    <row r="646" customFormat="false" ht="15" hidden="false" customHeight="false" outlineLevel="0" collapsed="false">
      <c r="A646" s="16" t="s">
        <v>171</v>
      </c>
      <c r="B646" s="2" t="s">
        <v>57</v>
      </c>
      <c r="C646" s="29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</row>
    <row r="647" customFormat="false" ht="16.15" hidden="false" customHeight="false" outlineLevel="0" collapsed="false">
      <c r="A647" s="16" t="s">
        <v>172</v>
      </c>
      <c r="B647" s="2" t="s">
        <v>51</v>
      </c>
      <c r="C647" s="57" t="n">
        <v>8.29</v>
      </c>
      <c r="D647" s="62" t="n">
        <v>26.2</v>
      </c>
      <c r="E647" s="62" t="n">
        <v>53.9</v>
      </c>
      <c r="F647" s="62" t="n">
        <f aca="false">E647*0.7</f>
        <v>37.73</v>
      </c>
      <c r="G647" s="62" t="n">
        <v>0.32</v>
      </c>
      <c r="H647" s="58" t="n">
        <v>8.24</v>
      </c>
      <c r="I647" s="62" t="n">
        <v>26</v>
      </c>
      <c r="J647" s="63"/>
      <c r="K647" s="63"/>
      <c r="L647" s="62" t="n">
        <v>0.52</v>
      </c>
      <c r="M647" s="58" t="n">
        <v>8.24</v>
      </c>
      <c r="N647" s="62" t="n">
        <v>26</v>
      </c>
      <c r="O647" s="63"/>
      <c r="P647" s="63"/>
      <c r="Q647" s="62" t="n">
        <v>0.43</v>
      </c>
      <c r="R647" s="58" t="n">
        <v>8.24</v>
      </c>
      <c r="S647" s="62" t="n">
        <v>26.1</v>
      </c>
      <c r="T647" s="63"/>
      <c r="U647" s="63"/>
      <c r="V647" s="58" t="n">
        <v>0.08</v>
      </c>
      <c r="W647" s="58" t="n">
        <v>8.23</v>
      </c>
      <c r="X647" s="62" t="n">
        <v>26.2</v>
      </c>
      <c r="Y647" s="63"/>
      <c r="Z647" s="63"/>
      <c r="AA647" s="58" t="n">
        <v>0.09</v>
      </c>
      <c r="AB647" s="58" t="n">
        <v>8.21</v>
      </c>
      <c r="AC647" s="62" t="n">
        <v>26.2</v>
      </c>
      <c r="AD647" s="62" t="n">
        <v>53.9</v>
      </c>
      <c r="AE647" s="62" t="n">
        <f aca="false">AD647*0.7</f>
        <v>37.73</v>
      </c>
      <c r="AF647" s="62"/>
      <c r="AG647" s="58" t="n">
        <v>0.03</v>
      </c>
      <c r="AH647" s="62"/>
      <c r="AI647" s="58" t="n">
        <v>8.2</v>
      </c>
      <c r="AJ647" s="62" t="n">
        <v>26.1</v>
      </c>
      <c r="AK647" s="62" t="n">
        <v>53.9</v>
      </c>
      <c r="AL647" s="62" t="n">
        <f aca="false">AK647*0.7</f>
        <v>37.73</v>
      </c>
      <c r="AM647" s="62"/>
      <c r="AN647" s="58" t="n">
        <v>0.05</v>
      </c>
      <c r="AO647" s="58" t="n">
        <v>6.91</v>
      </c>
      <c r="AP647" s="62" t="n">
        <v>26.6</v>
      </c>
      <c r="AQ647" s="65" t="n">
        <v>784</v>
      </c>
      <c r="AR647" s="62" t="n">
        <f aca="false">0.55*AQ647</f>
        <v>431.2</v>
      </c>
      <c r="AS647" s="58" t="n">
        <v>0.02</v>
      </c>
      <c r="AT647" s="58" t="n">
        <v>8.44</v>
      </c>
      <c r="AU647" s="62" t="n">
        <v>27.2</v>
      </c>
      <c r="AV647" s="62" t="n">
        <v>650</v>
      </c>
      <c r="AW647" s="62" t="n">
        <f aca="false">0.55*AV647</f>
        <v>357.5</v>
      </c>
      <c r="AX647" s="62" t="n">
        <v>0.8</v>
      </c>
      <c r="AY647" s="58" t="n">
        <v>0.03</v>
      </c>
    </row>
    <row r="648" customFormat="false" ht="15" hidden="false" customHeight="false" outlineLevel="0" collapsed="false">
      <c r="A648" s="16" t="s">
        <v>172</v>
      </c>
      <c r="B648" s="2" t="s">
        <v>52</v>
      </c>
      <c r="C648" s="29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</row>
    <row r="649" customFormat="false" ht="15" hidden="false" customHeight="false" outlineLevel="0" collapsed="false">
      <c r="A649" s="16" t="s">
        <v>172</v>
      </c>
      <c r="B649" s="2" t="s">
        <v>57</v>
      </c>
      <c r="C649" s="29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</row>
    <row r="650" customFormat="false" ht="16.15" hidden="false" customHeight="false" outlineLevel="0" collapsed="false">
      <c r="A650" s="16" t="s">
        <v>173</v>
      </c>
      <c r="B650" s="2" t="s">
        <v>51</v>
      </c>
      <c r="C650" s="57" t="n">
        <v>8.1</v>
      </c>
      <c r="D650" s="62" t="n">
        <v>25.6</v>
      </c>
      <c r="E650" s="62" t="n">
        <v>54</v>
      </c>
      <c r="F650" s="62" t="n">
        <f aca="false">E650*0.7</f>
        <v>37.8</v>
      </c>
      <c r="G650" s="62" t="n">
        <v>0.29</v>
      </c>
      <c r="H650" s="58" t="n">
        <v>8.09</v>
      </c>
      <c r="I650" s="62" t="n">
        <v>24.8</v>
      </c>
      <c r="J650" s="63"/>
      <c r="K650" s="63"/>
      <c r="L650" s="62" t="n">
        <v>1.03</v>
      </c>
      <c r="M650" s="58" t="n">
        <v>8.08</v>
      </c>
      <c r="N650" s="62" t="n">
        <v>24.6</v>
      </c>
      <c r="O650" s="63"/>
      <c r="P650" s="63"/>
      <c r="Q650" s="62" t="n">
        <v>0.76</v>
      </c>
      <c r="R650" s="58" t="n">
        <v>8.06</v>
      </c>
      <c r="S650" s="62" t="n">
        <v>24.3</v>
      </c>
      <c r="T650" s="63"/>
      <c r="U650" s="63"/>
      <c r="V650" s="58" t="n">
        <v>0.03</v>
      </c>
      <c r="W650" s="58" t="n">
        <v>8.05</v>
      </c>
      <c r="X650" s="62" t="n">
        <v>24.4</v>
      </c>
      <c r="Y650" s="63"/>
      <c r="Z650" s="63"/>
      <c r="AA650" s="58" t="n">
        <v>0.07</v>
      </c>
      <c r="AB650" s="58" t="n">
        <v>8.03</v>
      </c>
      <c r="AC650" s="62" t="n">
        <v>24.2</v>
      </c>
      <c r="AD650" s="62" t="n">
        <v>54</v>
      </c>
      <c r="AE650" s="62" t="n">
        <f aca="false">AD650*0.7</f>
        <v>37.8</v>
      </c>
      <c r="AF650" s="62"/>
      <c r="AG650" s="58" t="n">
        <v>0.01</v>
      </c>
      <c r="AH650" s="62"/>
      <c r="AI650" s="58" t="n">
        <v>8.03</v>
      </c>
      <c r="AJ650" s="62" t="n">
        <v>24.2</v>
      </c>
      <c r="AK650" s="62" t="n">
        <v>54</v>
      </c>
      <c r="AL650" s="62" t="n">
        <f aca="false">AK650*0.7</f>
        <v>37.8</v>
      </c>
      <c r="AM650" s="62"/>
      <c r="AN650" s="58" t="n">
        <v>0.02</v>
      </c>
      <c r="AO650" s="58" t="n">
        <v>6.62</v>
      </c>
      <c r="AP650" s="62" t="n">
        <v>24.6</v>
      </c>
      <c r="AQ650" s="65" t="n">
        <v>400</v>
      </c>
      <c r="AR650" s="62" t="n">
        <f aca="false">0.55*AQ650</f>
        <v>220</v>
      </c>
      <c r="AS650" s="58" t="n">
        <v>0</v>
      </c>
      <c r="AT650" s="58" t="n">
        <v>7.92</v>
      </c>
      <c r="AU650" s="62" t="n">
        <v>25.2</v>
      </c>
      <c r="AV650" s="62" t="n">
        <v>591</v>
      </c>
      <c r="AW650" s="62" t="n">
        <f aca="false">0.55*AV650</f>
        <v>325.05</v>
      </c>
      <c r="AX650" s="62" t="n">
        <v>0.9</v>
      </c>
      <c r="AY650" s="58" t="n">
        <v>0</v>
      </c>
    </row>
    <row r="651" customFormat="false" ht="15" hidden="false" customHeight="false" outlineLevel="0" collapsed="false">
      <c r="A651" s="16" t="s">
        <v>173</v>
      </c>
      <c r="B651" s="2" t="s">
        <v>52</v>
      </c>
      <c r="C651" s="29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</row>
    <row r="652" customFormat="false" ht="15" hidden="false" customHeight="false" outlineLevel="0" collapsed="false">
      <c r="A652" s="16" t="s">
        <v>173</v>
      </c>
      <c r="B652" s="2" t="s">
        <v>57</v>
      </c>
      <c r="C652" s="29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</row>
    <row r="653" customFormat="false" ht="16.15" hidden="false" customHeight="false" outlineLevel="0" collapsed="false">
      <c r="A653" s="16" t="s">
        <v>174</v>
      </c>
      <c r="B653" s="2" t="s">
        <v>51</v>
      </c>
      <c r="C653" s="57" t="n">
        <v>8.08</v>
      </c>
      <c r="D653" s="62" t="n">
        <v>24.2</v>
      </c>
      <c r="E653" s="62" t="n">
        <v>53.7</v>
      </c>
      <c r="F653" s="62" t="n">
        <f aca="false">E653*0.7</f>
        <v>37.59</v>
      </c>
      <c r="G653" s="62" t="n">
        <v>0.09</v>
      </c>
      <c r="H653" s="58" t="n">
        <v>8.05</v>
      </c>
      <c r="I653" s="62" t="n">
        <v>23.4</v>
      </c>
      <c r="J653" s="63"/>
      <c r="K653" s="63"/>
      <c r="L653" s="62" t="n">
        <v>0.32</v>
      </c>
      <c r="M653" s="58" t="n">
        <v>8.04</v>
      </c>
      <c r="N653" s="62" t="n">
        <v>23.4</v>
      </c>
      <c r="O653" s="63"/>
      <c r="P653" s="63"/>
      <c r="Q653" s="62" t="n">
        <v>0.17</v>
      </c>
      <c r="R653" s="58" t="n">
        <v>8.02</v>
      </c>
      <c r="S653" s="62" t="n">
        <v>22.8</v>
      </c>
      <c r="T653" s="63"/>
      <c r="U653" s="63"/>
      <c r="V653" s="58" t="n">
        <v>0</v>
      </c>
      <c r="W653" s="58" t="n">
        <v>8.02</v>
      </c>
      <c r="X653" s="62" t="n">
        <v>22.8</v>
      </c>
      <c r="Y653" s="63"/>
      <c r="Z653" s="63"/>
      <c r="AA653" s="58" t="n">
        <v>0</v>
      </c>
      <c r="AB653" s="58" t="n">
        <v>8.01</v>
      </c>
      <c r="AC653" s="62" t="n">
        <v>23</v>
      </c>
      <c r="AD653" s="62" t="n">
        <v>53.8</v>
      </c>
      <c r="AE653" s="62" t="n">
        <f aca="false">AD653*0.7</f>
        <v>37.66</v>
      </c>
      <c r="AF653" s="62"/>
      <c r="AG653" s="58" t="n">
        <v>0</v>
      </c>
      <c r="AH653" s="62"/>
      <c r="AI653" s="58" t="n">
        <v>8</v>
      </c>
      <c r="AJ653" s="62" t="n">
        <v>23</v>
      </c>
      <c r="AK653" s="62" t="n">
        <v>53.8</v>
      </c>
      <c r="AL653" s="62" t="n">
        <f aca="false">AK653*0.7</f>
        <v>37.66</v>
      </c>
      <c r="AM653" s="62"/>
      <c r="AN653" s="58" t="n">
        <v>0</v>
      </c>
      <c r="AO653" s="58" t="n">
        <v>6.57</v>
      </c>
      <c r="AP653" s="62" t="n">
        <v>24</v>
      </c>
      <c r="AQ653" s="65" t="n">
        <v>322</v>
      </c>
      <c r="AR653" s="62" t="n">
        <f aca="false">0.55*AQ653</f>
        <v>177.1</v>
      </c>
      <c r="AS653" s="58" t="n">
        <v>0</v>
      </c>
      <c r="AT653" s="58" t="n">
        <v>8</v>
      </c>
      <c r="AU653" s="62" t="n">
        <v>24.6</v>
      </c>
      <c r="AV653" s="62" t="n">
        <v>566</v>
      </c>
      <c r="AW653" s="62" t="n">
        <f aca="false">0.55*AV653</f>
        <v>311.3</v>
      </c>
      <c r="AX653" s="62" t="n">
        <v>0.8</v>
      </c>
      <c r="AY653" s="58" t="n">
        <v>0</v>
      </c>
    </row>
    <row r="654" customFormat="false" ht="15" hidden="false" customHeight="false" outlineLevel="0" collapsed="false">
      <c r="A654" s="16" t="s">
        <v>174</v>
      </c>
      <c r="B654" s="2" t="s">
        <v>52</v>
      </c>
      <c r="C654" s="29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</row>
    <row r="655" customFormat="false" ht="15" hidden="false" customHeight="false" outlineLevel="0" collapsed="false">
      <c r="A655" s="16" t="s">
        <v>174</v>
      </c>
      <c r="B655" s="2" t="s">
        <v>57</v>
      </c>
      <c r="C655" s="29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</row>
    <row r="656" customFormat="false" ht="16.15" hidden="false" customHeight="false" outlineLevel="0" collapsed="false">
      <c r="A656" s="16" t="s">
        <v>175</v>
      </c>
      <c r="B656" s="2" t="s">
        <v>51</v>
      </c>
      <c r="C656" s="57" t="n">
        <v>8.05</v>
      </c>
      <c r="D656" s="62" t="n">
        <v>25.5</v>
      </c>
      <c r="E656" s="62" t="n">
        <v>53.8</v>
      </c>
      <c r="F656" s="62" t="n">
        <f aca="false">E656*0.7</f>
        <v>37.66</v>
      </c>
      <c r="G656" s="62" t="n">
        <v>0.17</v>
      </c>
      <c r="H656" s="58" t="n">
        <v>8.02</v>
      </c>
      <c r="I656" s="62" t="n">
        <v>23</v>
      </c>
      <c r="J656" s="63"/>
      <c r="K656" s="63"/>
      <c r="L656" s="62" t="n">
        <v>0.66</v>
      </c>
      <c r="M656" s="58" t="n">
        <v>8.02</v>
      </c>
      <c r="N656" s="62" t="n">
        <v>23.1</v>
      </c>
      <c r="O656" s="63"/>
      <c r="P656" s="63"/>
      <c r="Q656" s="62" t="n">
        <v>0.41</v>
      </c>
      <c r="R656" s="58" t="n">
        <v>8</v>
      </c>
      <c r="S656" s="62" t="n">
        <v>22.5</v>
      </c>
      <c r="T656" s="63"/>
      <c r="U656" s="63"/>
      <c r="V656" s="58" t="n">
        <v>0.05</v>
      </c>
      <c r="W656" s="58" t="n">
        <v>8</v>
      </c>
      <c r="X656" s="62" t="n">
        <v>22.4</v>
      </c>
      <c r="Y656" s="63"/>
      <c r="Z656" s="63"/>
      <c r="AA656" s="58" t="n">
        <v>0.04</v>
      </c>
      <c r="AB656" s="58" t="n">
        <v>8</v>
      </c>
      <c r="AC656" s="62" t="n">
        <v>22.2</v>
      </c>
      <c r="AD656" s="62" t="n">
        <v>53.7</v>
      </c>
      <c r="AE656" s="62" t="n">
        <f aca="false">AD656*0.7</f>
        <v>37.59</v>
      </c>
      <c r="AF656" s="62"/>
      <c r="AG656" s="58" t="n">
        <v>0.01</v>
      </c>
      <c r="AH656" s="62"/>
      <c r="AI656" s="58" t="n">
        <v>8</v>
      </c>
      <c r="AJ656" s="62" t="n">
        <v>22.1</v>
      </c>
      <c r="AK656" s="62" t="n">
        <v>53.7</v>
      </c>
      <c r="AL656" s="62" t="n">
        <f aca="false">AK656*0.7</f>
        <v>37.59</v>
      </c>
      <c r="AM656" s="62"/>
      <c r="AN656" s="58" t="n">
        <v>0.02</v>
      </c>
      <c r="AO656" s="58" t="n">
        <v>6.57</v>
      </c>
      <c r="AP656" s="62" t="n">
        <v>22.5</v>
      </c>
      <c r="AQ656" s="65" t="n">
        <v>532</v>
      </c>
      <c r="AR656" s="62" t="n">
        <f aca="false">0.55*AQ656</f>
        <v>292.6</v>
      </c>
      <c r="AS656" s="58" t="n">
        <v>0</v>
      </c>
      <c r="AT656" s="58" t="n">
        <v>7.96</v>
      </c>
      <c r="AU656" s="62" t="n">
        <v>22.9</v>
      </c>
      <c r="AV656" s="62" t="n">
        <v>583</v>
      </c>
      <c r="AW656" s="62" t="n">
        <f aca="false">0.55*AV656</f>
        <v>320.65</v>
      </c>
      <c r="AX656" s="62" t="n">
        <v>0.8</v>
      </c>
      <c r="AY656" s="58" t="n">
        <v>0.01</v>
      </c>
    </row>
    <row r="657" customFormat="false" ht="15" hidden="false" customHeight="false" outlineLevel="0" collapsed="false">
      <c r="A657" s="16" t="s">
        <v>175</v>
      </c>
      <c r="B657" s="2" t="s">
        <v>52</v>
      </c>
      <c r="C657" s="29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</row>
    <row r="658" customFormat="false" ht="15" hidden="false" customHeight="false" outlineLevel="0" collapsed="false">
      <c r="A658" s="16" t="s">
        <v>175</v>
      </c>
      <c r="B658" s="2" t="s">
        <v>57</v>
      </c>
      <c r="C658" s="29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</row>
    <row r="659" customFormat="false" ht="16.15" hidden="false" customHeight="false" outlineLevel="0" collapsed="false">
      <c r="A659" s="16" t="s">
        <v>176</v>
      </c>
      <c r="B659" s="2" t="s">
        <v>51</v>
      </c>
      <c r="C659" s="57" t="n">
        <v>8.08</v>
      </c>
      <c r="D659" s="62" t="n">
        <v>22.5</v>
      </c>
      <c r="E659" s="62" t="n">
        <v>53.6</v>
      </c>
      <c r="F659" s="62" t="n">
        <f aca="false">E659*0.7</f>
        <v>37.52</v>
      </c>
      <c r="G659" s="62" t="n">
        <v>0.1</v>
      </c>
      <c r="H659" s="58" t="n">
        <v>8.05</v>
      </c>
      <c r="I659" s="62" t="n">
        <v>21.5</v>
      </c>
      <c r="J659" s="63"/>
      <c r="K659" s="63"/>
      <c r="L659" s="62" t="n">
        <v>0.3</v>
      </c>
      <c r="M659" s="58" t="n">
        <v>8.04</v>
      </c>
      <c r="N659" s="62" t="n">
        <v>21.6</v>
      </c>
      <c r="O659" s="63"/>
      <c r="P659" s="63"/>
      <c r="Q659" s="62" t="n">
        <v>0.41</v>
      </c>
      <c r="R659" s="58" t="n">
        <v>8.03</v>
      </c>
      <c r="S659" s="62" t="n">
        <v>21.4</v>
      </c>
      <c r="T659" s="63"/>
      <c r="U659" s="63"/>
      <c r="V659" s="58" t="n">
        <v>0</v>
      </c>
      <c r="W659" s="58" t="n">
        <v>8.02</v>
      </c>
      <c r="X659" s="62" t="n">
        <v>21.3</v>
      </c>
      <c r="Y659" s="63"/>
      <c r="Z659" s="63"/>
      <c r="AA659" s="58" t="n">
        <v>0</v>
      </c>
      <c r="AB659" s="58" t="n">
        <v>8</v>
      </c>
      <c r="AC659" s="62" t="n">
        <v>21.4</v>
      </c>
      <c r="AD659" s="62" t="n">
        <v>53.6</v>
      </c>
      <c r="AE659" s="62" t="n">
        <f aca="false">AD659*0.7</f>
        <v>37.52</v>
      </c>
      <c r="AF659" s="62"/>
      <c r="AG659" s="58" t="n">
        <v>0</v>
      </c>
      <c r="AH659" s="62"/>
      <c r="AI659" s="58" t="n">
        <v>8</v>
      </c>
      <c r="AJ659" s="62" t="n">
        <v>21.4</v>
      </c>
      <c r="AK659" s="62" t="n">
        <v>53.6</v>
      </c>
      <c r="AL659" s="62" t="n">
        <f aca="false">AK659*0.7</f>
        <v>37.52</v>
      </c>
      <c r="AM659" s="62"/>
      <c r="AN659" s="58" t="n">
        <v>0</v>
      </c>
      <c r="AO659" s="58" t="n">
        <v>6.64</v>
      </c>
      <c r="AP659" s="62" t="n">
        <v>22</v>
      </c>
      <c r="AQ659" s="65" t="n">
        <v>287</v>
      </c>
      <c r="AR659" s="62" t="n">
        <f aca="false">0.55*AQ659</f>
        <v>157.85</v>
      </c>
      <c r="AS659" s="58" t="n">
        <v>0</v>
      </c>
      <c r="AT659" s="58" t="n">
        <v>8.15</v>
      </c>
      <c r="AU659" s="62" t="n">
        <v>22.7</v>
      </c>
      <c r="AV659" s="62" t="n">
        <v>494</v>
      </c>
      <c r="AW659" s="62" t="n">
        <f aca="false">0.55*AV659</f>
        <v>271.7</v>
      </c>
      <c r="AX659" s="62" t="n">
        <v>0.8</v>
      </c>
      <c r="AY659" s="58" t="n">
        <v>0.06</v>
      </c>
    </row>
    <row r="660" customFormat="false" ht="15" hidden="false" customHeight="false" outlineLevel="0" collapsed="false">
      <c r="A660" s="16" t="s">
        <v>176</v>
      </c>
      <c r="B660" s="2" t="s">
        <v>52</v>
      </c>
      <c r="C660" s="29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</row>
    <row r="661" customFormat="false" ht="15" hidden="false" customHeight="false" outlineLevel="0" collapsed="false">
      <c r="A661" s="16" t="s">
        <v>176</v>
      </c>
      <c r="B661" s="2" t="s">
        <v>57</v>
      </c>
      <c r="C661" s="29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</row>
    <row r="662" customFormat="false" ht="16.15" hidden="false" customHeight="false" outlineLevel="0" collapsed="false">
      <c r="A662" s="16" t="s">
        <v>177</v>
      </c>
      <c r="B662" s="2" t="s">
        <v>51</v>
      </c>
      <c r="C662" s="57" t="n">
        <v>8.08</v>
      </c>
      <c r="D662" s="62" t="n">
        <v>23.2</v>
      </c>
      <c r="E662" s="62" t="n">
        <v>53.6</v>
      </c>
      <c r="F662" s="62" t="n">
        <f aca="false">E662*0.7</f>
        <v>37.52</v>
      </c>
      <c r="G662" s="62" t="n">
        <v>0.1</v>
      </c>
      <c r="H662" s="58" t="n">
        <v>8.05</v>
      </c>
      <c r="I662" s="62" t="n">
        <v>22.8</v>
      </c>
      <c r="J662" s="63"/>
      <c r="K662" s="63"/>
      <c r="L662" s="62" t="n">
        <v>0.52</v>
      </c>
      <c r="M662" s="58" t="n">
        <v>8.04</v>
      </c>
      <c r="N662" s="62" t="n">
        <v>22.8</v>
      </c>
      <c r="O662" s="63"/>
      <c r="P662" s="63"/>
      <c r="Q662" s="62" t="n">
        <v>0.41</v>
      </c>
      <c r="R662" s="58" t="n">
        <v>8.03</v>
      </c>
      <c r="S662" s="62" t="n">
        <v>21.7</v>
      </c>
      <c r="T662" s="63"/>
      <c r="U662" s="63"/>
      <c r="V662" s="58" t="n">
        <v>0</v>
      </c>
      <c r="W662" s="58" t="n">
        <v>8.02</v>
      </c>
      <c r="X662" s="62" t="n">
        <v>21.7</v>
      </c>
      <c r="Y662" s="63"/>
      <c r="Z662" s="63"/>
      <c r="AA662" s="58" t="n">
        <v>0</v>
      </c>
      <c r="AB662" s="58" t="n">
        <v>8</v>
      </c>
      <c r="AC662" s="62" t="n">
        <v>22.4</v>
      </c>
      <c r="AD662" s="62" t="n">
        <v>53.6</v>
      </c>
      <c r="AE662" s="62" t="n">
        <f aca="false">AD662*0.7</f>
        <v>37.52</v>
      </c>
      <c r="AF662" s="62"/>
      <c r="AG662" s="58" t="n">
        <v>0</v>
      </c>
      <c r="AH662" s="62"/>
      <c r="AI662" s="58" t="n">
        <v>8</v>
      </c>
      <c r="AJ662" s="62" t="n">
        <v>22.4</v>
      </c>
      <c r="AK662" s="62" t="n">
        <v>53.6</v>
      </c>
      <c r="AL662" s="62" t="n">
        <f aca="false">AK662*0.7</f>
        <v>37.52</v>
      </c>
      <c r="AM662" s="62"/>
      <c r="AN662" s="58" t="n">
        <v>0</v>
      </c>
      <c r="AO662" s="58" t="n">
        <v>6.64</v>
      </c>
      <c r="AP662" s="62" t="n">
        <v>23</v>
      </c>
      <c r="AQ662" s="65" t="n">
        <v>287</v>
      </c>
      <c r="AR662" s="62" t="n">
        <f aca="false">0.55*AQ662</f>
        <v>157.85</v>
      </c>
      <c r="AS662" s="58" t="n">
        <v>0</v>
      </c>
      <c r="AT662" s="58" t="n">
        <v>7.96</v>
      </c>
      <c r="AU662" s="62" t="n">
        <v>23.2</v>
      </c>
      <c r="AV662" s="62" t="n">
        <v>502</v>
      </c>
      <c r="AW662" s="62" t="n">
        <f aca="false">0.55*AV662</f>
        <v>276.1</v>
      </c>
      <c r="AX662" s="62" t="n">
        <v>0.9</v>
      </c>
      <c r="AY662" s="58" t="n">
        <v>0.02</v>
      </c>
    </row>
    <row r="663" customFormat="false" ht="15" hidden="false" customHeight="false" outlineLevel="0" collapsed="false">
      <c r="A663" s="16" t="s">
        <v>177</v>
      </c>
      <c r="B663" s="2" t="s">
        <v>52</v>
      </c>
      <c r="C663" s="29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</row>
    <row r="664" customFormat="false" ht="15" hidden="false" customHeight="false" outlineLevel="0" collapsed="false">
      <c r="A664" s="16" t="s">
        <v>177</v>
      </c>
      <c r="B664" s="2" t="s">
        <v>57</v>
      </c>
      <c r="C664" s="29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</row>
    <row r="665" customFormat="false" ht="16.15" hidden="false" customHeight="false" outlineLevel="0" collapsed="false">
      <c r="A665" s="16" t="s">
        <v>178</v>
      </c>
      <c r="B665" s="2" t="s">
        <v>51</v>
      </c>
      <c r="C665" s="57" t="n">
        <v>8.01</v>
      </c>
      <c r="D665" s="62" t="n">
        <v>25.1</v>
      </c>
      <c r="E665" s="62" t="n">
        <v>53.6</v>
      </c>
      <c r="F665" s="62" t="n">
        <f aca="false">E665*0.7</f>
        <v>37.52</v>
      </c>
      <c r="G665" s="62" t="n">
        <v>0.17</v>
      </c>
      <c r="H665" s="58" t="n">
        <v>8</v>
      </c>
      <c r="I665" s="62" t="n">
        <v>22.9</v>
      </c>
      <c r="J665" s="63"/>
      <c r="K665" s="63"/>
      <c r="L665" s="62" t="n">
        <v>0.29</v>
      </c>
      <c r="M665" s="58" t="n">
        <v>8</v>
      </c>
      <c r="N665" s="62" t="n">
        <v>22.9</v>
      </c>
      <c r="O665" s="63"/>
      <c r="P665" s="63"/>
      <c r="Q665" s="62" t="n">
        <v>0.42</v>
      </c>
      <c r="R665" s="58" t="n">
        <v>8</v>
      </c>
      <c r="S665" s="62" t="n">
        <v>22.8</v>
      </c>
      <c r="T665" s="63"/>
      <c r="U665" s="63"/>
      <c r="V665" s="58" t="n">
        <v>0.07</v>
      </c>
      <c r="W665" s="58" t="n">
        <v>8</v>
      </c>
      <c r="X665" s="62" t="n">
        <v>22.6</v>
      </c>
      <c r="Y665" s="63"/>
      <c r="Z665" s="63"/>
      <c r="AA665" s="58" t="n">
        <v>0.05</v>
      </c>
      <c r="AB665" s="58" t="n">
        <v>7.99</v>
      </c>
      <c r="AC665" s="62" t="n">
        <v>22.6</v>
      </c>
      <c r="AD665" s="62" t="n">
        <v>53.6</v>
      </c>
      <c r="AE665" s="62" t="n">
        <f aca="false">AD665*0.7</f>
        <v>37.52</v>
      </c>
      <c r="AF665" s="62"/>
      <c r="AG665" s="58" t="n">
        <v>0.01</v>
      </c>
      <c r="AH665" s="62"/>
      <c r="AI665" s="58" t="n">
        <v>7.99</v>
      </c>
      <c r="AJ665" s="62" t="n">
        <v>22.7</v>
      </c>
      <c r="AK665" s="62" t="n">
        <v>53.6</v>
      </c>
      <c r="AL665" s="62" t="n">
        <f aca="false">AK665*0.7</f>
        <v>37.52</v>
      </c>
      <c r="AM665" s="62"/>
      <c r="AN665" s="58" t="n">
        <v>0.01</v>
      </c>
      <c r="AO665" s="58" t="n">
        <v>6.71</v>
      </c>
      <c r="AP665" s="62" t="n">
        <v>22.6</v>
      </c>
      <c r="AQ665" s="65" t="n">
        <v>514</v>
      </c>
      <c r="AR665" s="62" t="n">
        <f aca="false">0.55*AQ665</f>
        <v>282.7</v>
      </c>
      <c r="AS665" s="58" t="n">
        <v>0.01</v>
      </c>
      <c r="AT665" s="58" t="n">
        <v>8.03</v>
      </c>
      <c r="AU665" s="62" t="n">
        <v>23.4</v>
      </c>
      <c r="AV665" s="62" t="n">
        <v>500</v>
      </c>
      <c r="AW665" s="62" t="n">
        <f aca="false">0.55*AV665</f>
        <v>275</v>
      </c>
      <c r="AX665" s="62"/>
      <c r="AY665" s="58" t="n">
        <v>0.02</v>
      </c>
    </row>
    <row r="666" customFormat="false" ht="15" hidden="false" customHeight="false" outlineLevel="0" collapsed="false">
      <c r="A666" s="16" t="s">
        <v>178</v>
      </c>
      <c r="B666" s="2" t="s">
        <v>52</v>
      </c>
      <c r="C666" s="29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</row>
    <row r="667" customFormat="false" ht="15" hidden="false" customHeight="false" outlineLevel="0" collapsed="false">
      <c r="A667" s="16" t="s">
        <v>178</v>
      </c>
      <c r="B667" s="2" t="s">
        <v>57</v>
      </c>
      <c r="C667" s="29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</row>
    <row r="668" customFormat="false" ht="16.15" hidden="false" customHeight="false" outlineLevel="0" collapsed="false">
      <c r="A668" s="16" t="s">
        <v>179</v>
      </c>
      <c r="B668" s="2" t="s">
        <v>51</v>
      </c>
      <c r="C668" s="57" t="n">
        <v>8.06</v>
      </c>
      <c r="D668" s="62" t="n">
        <v>24.9</v>
      </c>
      <c r="E668" s="62" t="n">
        <v>53.7</v>
      </c>
      <c r="F668" s="62" t="n">
        <f aca="false">E668*0.7</f>
        <v>37.59</v>
      </c>
      <c r="G668" s="62" t="n">
        <v>0.22</v>
      </c>
      <c r="H668" s="58" t="n">
        <v>8.02</v>
      </c>
      <c r="I668" s="62" t="n">
        <v>23.8</v>
      </c>
      <c r="J668" s="63"/>
      <c r="K668" s="63"/>
      <c r="L668" s="62" t="n">
        <v>0.51</v>
      </c>
      <c r="M668" s="58" t="n">
        <v>8.02</v>
      </c>
      <c r="N668" s="62" t="n">
        <v>23.7</v>
      </c>
      <c r="O668" s="63"/>
      <c r="P668" s="63"/>
      <c r="Q668" s="62" t="n">
        <v>0.52</v>
      </c>
      <c r="R668" s="58" t="n">
        <v>8</v>
      </c>
      <c r="S668" s="62" t="n">
        <v>23.4</v>
      </c>
      <c r="T668" s="63"/>
      <c r="U668" s="63"/>
      <c r="V668" s="58" t="n">
        <v>0</v>
      </c>
      <c r="W668" s="58" t="n">
        <v>8</v>
      </c>
      <c r="X668" s="62" t="n">
        <v>23.3</v>
      </c>
      <c r="Y668" s="63"/>
      <c r="Z668" s="63"/>
      <c r="AA668" s="58" t="n">
        <v>0</v>
      </c>
      <c r="AB668" s="58" t="n">
        <v>7.97</v>
      </c>
      <c r="AC668" s="62" t="n">
        <v>23.3</v>
      </c>
      <c r="AD668" s="62" t="n">
        <v>53.6</v>
      </c>
      <c r="AE668" s="62" t="n">
        <f aca="false">AD668*0.7</f>
        <v>37.52</v>
      </c>
      <c r="AF668" s="62"/>
      <c r="AG668" s="58" t="n">
        <v>0</v>
      </c>
      <c r="AH668" s="62"/>
      <c r="AI668" s="58" t="n">
        <v>7.98</v>
      </c>
      <c r="AJ668" s="62" t="n">
        <v>23.3</v>
      </c>
      <c r="AK668" s="62" t="n">
        <v>53.6</v>
      </c>
      <c r="AL668" s="62" t="n">
        <f aca="false">AK668*0.7</f>
        <v>37.52</v>
      </c>
      <c r="AM668" s="62"/>
      <c r="AN668" s="58" t="n">
        <v>0</v>
      </c>
      <c r="AO668" s="58" t="n">
        <v>6.65</v>
      </c>
      <c r="AP668" s="62" t="n">
        <v>24.6</v>
      </c>
      <c r="AQ668" s="65" t="n">
        <v>401</v>
      </c>
      <c r="AR668" s="62" t="n">
        <f aca="false">0.55*AQ668</f>
        <v>220.55</v>
      </c>
      <c r="AS668" s="58" t="n">
        <v>0</v>
      </c>
      <c r="AT668" s="58" t="n">
        <v>8.02</v>
      </c>
      <c r="AU668" s="62" t="n">
        <v>24.9</v>
      </c>
      <c r="AV668" s="62" t="n">
        <v>557</v>
      </c>
      <c r="AW668" s="62" t="n">
        <f aca="false">0.55*AV668</f>
        <v>306.35</v>
      </c>
      <c r="AX668" s="62" t="n">
        <v>557</v>
      </c>
      <c r="AY668" s="58" t="n">
        <v>0.01</v>
      </c>
    </row>
    <row r="669" customFormat="false" ht="15" hidden="false" customHeight="false" outlineLevel="0" collapsed="false">
      <c r="A669" s="16" t="s">
        <v>179</v>
      </c>
      <c r="B669" s="2" t="s">
        <v>52</v>
      </c>
      <c r="C669" s="29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</row>
    <row r="670" customFormat="false" ht="15" hidden="false" customHeight="false" outlineLevel="0" collapsed="false">
      <c r="A670" s="16" t="s">
        <v>179</v>
      </c>
      <c r="B670" s="2" t="s">
        <v>57</v>
      </c>
      <c r="C670" s="29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</row>
    <row r="671" customFormat="false" ht="16.15" hidden="false" customHeight="false" outlineLevel="0" collapsed="false">
      <c r="A671" s="16" t="s">
        <v>180</v>
      </c>
      <c r="B671" s="2" t="s">
        <v>51</v>
      </c>
      <c r="C671" s="57" t="n">
        <v>8.07</v>
      </c>
      <c r="D671" s="62" t="n">
        <v>25.3</v>
      </c>
      <c r="E671" s="62" t="n">
        <v>53.7</v>
      </c>
      <c r="F671" s="62" t="n">
        <f aca="false">E671*0.7</f>
        <v>37.59</v>
      </c>
      <c r="G671" s="62" t="n">
        <v>0.18</v>
      </c>
      <c r="H671" s="58" t="n">
        <v>8.05</v>
      </c>
      <c r="I671" s="62" t="n">
        <v>24.4</v>
      </c>
      <c r="J671" s="63"/>
      <c r="K671" s="63"/>
      <c r="L671" s="62" t="n">
        <v>0.36</v>
      </c>
      <c r="M671" s="58" t="n">
        <v>8.05</v>
      </c>
      <c r="N671" s="62" t="n">
        <v>24.4</v>
      </c>
      <c r="O671" s="63"/>
      <c r="P671" s="63"/>
      <c r="Q671" s="62" t="n">
        <v>0.41</v>
      </c>
      <c r="R671" s="58" t="n">
        <v>8.02</v>
      </c>
      <c r="S671" s="62" t="n">
        <v>24.3</v>
      </c>
      <c r="T671" s="63"/>
      <c r="U671" s="63"/>
      <c r="V671" s="58" t="n">
        <v>0</v>
      </c>
      <c r="W671" s="58" t="n">
        <v>8.02</v>
      </c>
      <c r="X671" s="62" t="n">
        <v>24.3</v>
      </c>
      <c r="Y671" s="63"/>
      <c r="Z671" s="63"/>
      <c r="AA671" s="58" t="n">
        <v>0</v>
      </c>
      <c r="AB671" s="58" t="n">
        <v>8</v>
      </c>
      <c r="AC671" s="62" t="n">
        <v>24.1</v>
      </c>
      <c r="AD671" s="62" t="n">
        <v>53.6</v>
      </c>
      <c r="AE671" s="62" t="n">
        <f aca="false">AD671*0.7</f>
        <v>37.52</v>
      </c>
      <c r="AF671" s="62"/>
      <c r="AG671" s="58" t="n">
        <v>0</v>
      </c>
      <c r="AH671" s="62"/>
      <c r="AI671" s="58" t="n">
        <v>8</v>
      </c>
      <c r="AJ671" s="62" t="n">
        <v>24.1</v>
      </c>
      <c r="AK671" s="62" t="n">
        <v>53.6</v>
      </c>
      <c r="AL671" s="62" t="n">
        <f aca="false">AK671*0.7</f>
        <v>37.52</v>
      </c>
      <c r="AM671" s="62"/>
      <c r="AN671" s="58" t="n">
        <v>0</v>
      </c>
      <c r="AO671" s="58" t="n">
        <v>6.61</v>
      </c>
      <c r="AP671" s="62" t="n">
        <v>24.9</v>
      </c>
      <c r="AQ671" s="65" t="n">
        <v>707</v>
      </c>
      <c r="AR671" s="62" t="n">
        <f aca="false">0.55*AQ671</f>
        <v>388.85</v>
      </c>
      <c r="AS671" s="58" t="n">
        <v>0</v>
      </c>
      <c r="AT671" s="58" t="n">
        <v>8.07</v>
      </c>
      <c r="AU671" s="62" t="n">
        <v>25.1</v>
      </c>
      <c r="AV671" s="62" t="n">
        <v>576</v>
      </c>
      <c r="AW671" s="62" t="n">
        <f aca="false">0.55*AV671</f>
        <v>316.8</v>
      </c>
      <c r="AX671" s="62" t="n">
        <v>0.8</v>
      </c>
      <c r="AY671" s="58" t="n">
        <v>0</v>
      </c>
    </row>
    <row r="672" customFormat="false" ht="15" hidden="false" customHeight="false" outlineLevel="0" collapsed="false">
      <c r="A672" s="16" t="s">
        <v>180</v>
      </c>
      <c r="B672" s="2" t="s">
        <v>52</v>
      </c>
      <c r="C672" s="29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</row>
    <row r="673" customFormat="false" ht="15" hidden="false" customHeight="false" outlineLevel="0" collapsed="false">
      <c r="A673" s="16" t="s">
        <v>180</v>
      </c>
      <c r="B673" s="2" t="s">
        <v>57</v>
      </c>
      <c r="C673" s="29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</row>
    <row r="674" customFormat="false" ht="16.15" hidden="false" customHeight="false" outlineLevel="0" collapsed="false">
      <c r="A674" s="16" t="s">
        <v>181</v>
      </c>
      <c r="B674" s="2" t="s">
        <v>51</v>
      </c>
      <c r="C674" s="57" t="n">
        <v>8.02</v>
      </c>
      <c r="D674" s="62" t="n">
        <v>24.4</v>
      </c>
      <c r="E674" s="62" t="n">
        <v>53.9</v>
      </c>
      <c r="F674" s="62" t="n">
        <f aca="false">E674*0.7</f>
        <v>37.73</v>
      </c>
      <c r="G674" s="62" t="n">
        <v>0.1</v>
      </c>
      <c r="H674" s="58" t="n">
        <v>8</v>
      </c>
      <c r="I674" s="62" t="n">
        <v>23.3</v>
      </c>
      <c r="J674" s="63"/>
      <c r="K674" s="63"/>
      <c r="L674" s="62" t="n">
        <v>0.49</v>
      </c>
      <c r="M674" s="58" t="n">
        <v>8</v>
      </c>
      <c r="N674" s="62" t="n">
        <v>23.2</v>
      </c>
      <c r="O674" s="63"/>
      <c r="P674" s="63"/>
      <c r="Q674" s="62" t="n">
        <v>0.23</v>
      </c>
      <c r="R674" s="58" t="n">
        <v>8</v>
      </c>
      <c r="S674" s="62" t="n">
        <v>23.4</v>
      </c>
      <c r="T674" s="63"/>
      <c r="U674" s="63"/>
      <c r="V674" s="58" t="n">
        <v>0</v>
      </c>
      <c r="W674" s="58" t="n">
        <v>8</v>
      </c>
      <c r="X674" s="62" t="n">
        <v>23.3</v>
      </c>
      <c r="Y674" s="63"/>
      <c r="Z674" s="63"/>
      <c r="AA674" s="58" t="n">
        <v>0</v>
      </c>
      <c r="AB674" s="58" t="n">
        <v>7.98</v>
      </c>
      <c r="AC674" s="62" t="n">
        <v>23.4</v>
      </c>
      <c r="AD674" s="62" t="n">
        <v>53.9</v>
      </c>
      <c r="AE674" s="62" t="n">
        <f aca="false">AD674*0.7</f>
        <v>37.73</v>
      </c>
      <c r="AF674" s="62"/>
      <c r="AG674" s="58" t="n">
        <v>0</v>
      </c>
      <c r="AH674" s="62"/>
      <c r="AI674" s="58" t="n">
        <v>7.98</v>
      </c>
      <c r="AJ674" s="62" t="n">
        <v>23.4</v>
      </c>
      <c r="AK674" s="62" t="n">
        <v>53.9</v>
      </c>
      <c r="AL674" s="62" t="n">
        <f aca="false">AK674*0.7</f>
        <v>37.73</v>
      </c>
      <c r="AM674" s="62"/>
      <c r="AN674" s="58" t="n">
        <v>0</v>
      </c>
      <c r="AO674" s="58" t="n">
        <v>6.66</v>
      </c>
      <c r="AP674" s="62" t="n">
        <v>23.9</v>
      </c>
      <c r="AQ674" s="65" t="n">
        <v>360</v>
      </c>
      <c r="AR674" s="62" t="n">
        <f aca="false">0.55*AQ674</f>
        <v>198</v>
      </c>
      <c r="AS674" s="58" t="n">
        <v>0</v>
      </c>
      <c r="AT674" s="58" t="n">
        <v>8.08</v>
      </c>
      <c r="AU674" s="62" t="n">
        <v>25</v>
      </c>
      <c r="AV674" s="62" t="n">
        <v>564</v>
      </c>
      <c r="AW674" s="62" t="n">
        <f aca="false">0.55*AV674</f>
        <v>310.2</v>
      </c>
      <c r="AX674" s="62" t="n">
        <v>0.7</v>
      </c>
      <c r="AY674" s="58" t="n">
        <v>0.15</v>
      </c>
    </row>
    <row r="675" customFormat="false" ht="15" hidden="false" customHeight="false" outlineLevel="0" collapsed="false">
      <c r="A675" s="16" t="s">
        <v>181</v>
      </c>
      <c r="B675" s="2" t="s">
        <v>52</v>
      </c>
      <c r="C675" s="29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</row>
    <row r="676" customFormat="false" ht="15" hidden="false" customHeight="false" outlineLevel="0" collapsed="false">
      <c r="A676" s="16" t="s">
        <v>181</v>
      </c>
      <c r="B676" s="2" t="s">
        <v>57</v>
      </c>
      <c r="C676" s="29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</row>
    <row r="677" customFormat="false" ht="16.15" hidden="false" customHeight="false" outlineLevel="0" collapsed="false">
      <c r="A677" s="16" t="s">
        <v>182</v>
      </c>
      <c r="B677" s="2" t="s">
        <v>51</v>
      </c>
      <c r="C677" s="57" t="n">
        <v>8.08</v>
      </c>
      <c r="D677" s="62" t="n">
        <v>23.2</v>
      </c>
      <c r="E677" s="62" t="n">
        <v>53.6</v>
      </c>
      <c r="F677" s="62" t="n">
        <f aca="false">E677*0.7</f>
        <v>37.52</v>
      </c>
      <c r="G677" s="62" t="n">
        <v>0.18</v>
      </c>
      <c r="H677" s="58" t="n">
        <v>8.07</v>
      </c>
      <c r="I677" s="62" t="n">
        <v>21.2</v>
      </c>
      <c r="J677" s="63"/>
      <c r="K677" s="63"/>
      <c r="L677" s="62" t="n">
        <v>0.31</v>
      </c>
      <c r="M677" s="58" t="n">
        <v>8.07</v>
      </c>
      <c r="N677" s="62" t="n">
        <v>21.2</v>
      </c>
      <c r="O677" s="63"/>
      <c r="P677" s="63"/>
      <c r="Q677" s="62" t="n">
        <v>0.12</v>
      </c>
      <c r="R677" s="58" t="n">
        <v>8</v>
      </c>
      <c r="S677" s="62" t="n">
        <v>21.4</v>
      </c>
      <c r="T677" s="63"/>
      <c r="U677" s="63"/>
      <c r="V677" s="58" t="n">
        <v>0</v>
      </c>
      <c r="W677" s="58" t="n">
        <v>8</v>
      </c>
      <c r="X677" s="62" t="n">
        <v>21.4</v>
      </c>
      <c r="Y677" s="63"/>
      <c r="Z677" s="63"/>
      <c r="AA677" s="58" t="n">
        <v>0</v>
      </c>
      <c r="AB677" s="58" t="n">
        <v>7.96</v>
      </c>
      <c r="AC677" s="62" t="n">
        <v>21.3</v>
      </c>
      <c r="AD677" s="62" t="n">
        <v>53.5</v>
      </c>
      <c r="AE677" s="62" t="n">
        <f aca="false">AD677*0.7</f>
        <v>37.45</v>
      </c>
      <c r="AF677" s="62"/>
      <c r="AG677" s="58" t="n">
        <v>0</v>
      </c>
      <c r="AH677" s="62"/>
      <c r="AI677" s="58" t="n">
        <v>7.99</v>
      </c>
      <c r="AJ677" s="62" t="n">
        <v>21.3</v>
      </c>
      <c r="AK677" s="62" t="n">
        <v>53.5</v>
      </c>
      <c r="AL677" s="62" t="n">
        <f aca="false">AK677*0.7</f>
        <v>37.45</v>
      </c>
      <c r="AM677" s="62"/>
      <c r="AN677" s="58" t="n">
        <v>0</v>
      </c>
      <c r="AO677" s="58" t="n">
        <v>6.67</v>
      </c>
      <c r="AP677" s="62" t="n">
        <v>21.6</v>
      </c>
      <c r="AQ677" s="65" t="n">
        <v>372</v>
      </c>
      <c r="AR677" s="62" t="n">
        <f aca="false">0.55*AQ677</f>
        <v>204.6</v>
      </c>
      <c r="AS677" s="58" t="n">
        <v>0</v>
      </c>
      <c r="AT677" s="58" t="n">
        <v>8.06</v>
      </c>
      <c r="AU677" s="62" t="n">
        <v>22.3</v>
      </c>
      <c r="AV677" s="62" t="n">
        <v>518</v>
      </c>
      <c r="AW677" s="62" t="n">
        <f aca="false">0.55*AV677</f>
        <v>284.9</v>
      </c>
      <c r="AX677" s="62" t="n">
        <v>0.7</v>
      </c>
      <c r="AY677" s="58" t="n">
        <v>0.08</v>
      </c>
    </row>
    <row r="678" customFormat="false" ht="16.15" hidden="false" customHeight="false" outlineLevel="0" collapsed="false">
      <c r="A678" s="16" t="s">
        <v>183</v>
      </c>
      <c r="B678" s="2" t="s">
        <v>51</v>
      </c>
      <c r="C678" s="57" t="n">
        <v>8.02</v>
      </c>
      <c r="D678" s="62" t="n">
        <v>23.4</v>
      </c>
      <c r="E678" s="62" t="n">
        <v>53.4</v>
      </c>
      <c r="F678" s="62" t="n">
        <f aca="false">E678*0.7</f>
        <v>37.38</v>
      </c>
      <c r="G678" s="62" t="n">
        <v>0.21</v>
      </c>
      <c r="H678" s="58" t="n">
        <v>8</v>
      </c>
      <c r="I678" s="62" t="n">
        <v>22.3</v>
      </c>
      <c r="J678" s="63"/>
      <c r="K678" s="63"/>
      <c r="L678" s="62" t="n">
        <v>0.61</v>
      </c>
      <c r="M678" s="58" t="n">
        <v>8</v>
      </c>
      <c r="N678" s="62" t="n">
        <v>22.4</v>
      </c>
      <c r="O678" s="63"/>
      <c r="P678" s="63"/>
      <c r="Q678" s="62" t="n">
        <v>0.22</v>
      </c>
      <c r="R678" s="58" t="n">
        <v>8</v>
      </c>
      <c r="S678" s="62" t="n">
        <v>22</v>
      </c>
      <c r="T678" s="63"/>
      <c r="U678" s="63"/>
      <c r="V678" s="58" t="n">
        <v>0.01</v>
      </c>
      <c r="W678" s="58" t="n">
        <v>8</v>
      </c>
      <c r="X678" s="62" t="n">
        <v>22</v>
      </c>
      <c r="Y678" s="63"/>
      <c r="Z678" s="63"/>
      <c r="AA678" s="58" t="n">
        <v>0.01</v>
      </c>
      <c r="AB678" s="58" t="n">
        <v>7.96</v>
      </c>
      <c r="AC678" s="62" t="n">
        <v>21.4</v>
      </c>
      <c r="AD678" s="62" t="n">
        <v>53.4</v>
      </c>
      <c r="AE678" s="62" t="n">
        <f aca="false">AD678*0.7</f>
        <v>37.38</v>
      </c>
      <c r="AF678" s="62"/>
      <c r="AG678" s="58" t="n">
        <v>0</v>
      </c>
      <c r="AH678" s="62"/>
      <c r="AI678" s="58" t="n">
        <v>7.98</v>
      </c>
      <c r="AJ678" s="62" t="n">
        <v>21.4</v>
      </c>
      <c r="AK678" s="62" t="n">
        <v>53.4</v>
      </c>
      <c r="AL678" s="62" t="n">
        <f aca="false">AK678*0.7</f>
        <v>37.38</v>
      </c>
      <c r="AM678" s="62"/>
      <c r="AN678" s="58" t="n">
        <v>0</v>
      </c>
      <c r="AO678" s="58" t="n">
        <v>6.77</v>
      </c>
      <c r="AP678" s="62" t="n">
        <v>21.5</v>
      </c>
      <c r="AQ678" s="65" t="n">
        <v>397</v>
      </c>
      <c r="AR678" s="62" t="n">
        <f aca="false">0.55*AQ678</f>
        <v>218.35</v>
      </c>
      <c r="AS678" s="58" t="n">
        <v>0</v>
      </c>
      <c r="AT678" s="58" t="n">
        <v>8.06</v>
      </c>
      <c r="AU678" s="62" t="n">
        <v>22.1</v>
      </c>
      <c r="AV678" s="62" t="n">
        <v>485</v>
      </c>
      <c r="AW678" s="62" t="n">
        <f aca="false">0.55*AV678</f>
        <v>266.75</v>
      </c>
      <c r="AX678" s="62" t="n">
        <v>0.7</v>
      </c>
      <c r="AY678" s="58" t="n">
        <v>0.1</v>
      </c>
    </row>
    <row r="679" customFormat="false" ht="15" hidden="false" customHeight="false" outlineLevel="0" collapsed="false">
      <c r="A679" s="16" t="s">
        <v>183</v>
      </c>
      <c r="B679" s="2" t="s">
        <v>52</v>
      </c>
      <c r="C679" s="29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</row>
    <row r="680" customFormat="false" ht="15" hidden="false" customHeight="false" outlineLevel="0" collapsed="false">
      <c r="A680" s="16" t="s">
        <v>183</v>
      </c>
      <c r="B680" s="2" t="s">
        <v>57</v>
      </c>
      <c r="C680" s="29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</row>
    <row r="681" customFormat="false" ht="16.15" hidden="false" customHeight="false" outlineLevel="0" collapsed="false">
      <c r="A681" s="16" t="n">
        <v>45300</v>
      </c>
      <c r="B681" s="2" t="s">
        <v>51</v>
      </c>
      <c r="C681" s="57" t="n">
        <v>8.08</v>
      </c>
      <c r="D681" s="62" t="n">
        <v>23.6</v>
      </c>
      <c r="E681" s="62" t="n">
        <v>53.8</v>
      </c>
      <c r="F681" s="62" t="n">
        <f aca="false">E681*0.7</f>
        <v>37.66</v>
      </c>
      <c r="G681" s="62" t="n">
        <v>0.24</v>
      </c>
      <c r="H681" s="58" t="n">
        <v>8.05</v>
      </c>
      <c r="I681" s="62" t="n">
        <v>21</v>
      </c>
      <c r="J681" s="63"/>
      <c r="K681" s="63"/>
      <c r="L681" s="62" t="n">
        <v>0.52</v>
      </c>
      <c r="M681" s="58" t="n">
        <v>8.05</v>
      </c>
      <c r="N681" s="62" t="n">
        <v>20.9</v>
      </c>
      <c r="O681" s="63"/>
      <c r="P681" s="63"/>
      <c r="Q681" s="62" t="n">
        <v>0.56</v>
      </c>
      <c r="R681" s="58" t="n">
        <v>8.02</v>
      </c>
      <c r="S681" s="62" t="n">
        <v>20.8</v>
      </c>
      <c r="T681" s="63"/>
      <c r="U681" s="63"/>
      <c r="V681" s="58" t="n">
        <v>0</v>
      </c>
      <c r="W681" s="58" t="n">
        <v>8.02</v>
      </c>
      <c r="X681" s="62" t="n">
        <v>20.8</v>
      </c>
      <c r="Y681" s="63"/>
      <c r="Z681" s="63"/>
      <c r="AA681" s="58" t="n">
        <v>0</v>
      </c>
      <c r="AB681" s="58" t="n">
        <v>8</v>
      </c>
      <c r="AC681" s="62" t="n">
        <v>20.8</v>
      </c>
      <c r="AD681" s="62" t="n">
        <v>53.7</v>
      </c>
      <c r="AE681" s="62" t="n">
        <f aca="false">AD681*0.7</f>
        <v>37.59</v>
      </c>
      <c r="AF681" s="62"/>
      <c r="AG681" s="58" t="n">
        <v>0</v>
      </c>
      <c r="AH681" s="62"/>
      <c r="AI681" s="58" t="n">
        <v>8</v>
      </c>
      <c r="AJ681" s="62" t="n">
        <v>20.7</v>
      </c>
      <c r="AK681" s="62" t="n">
        <v>53.7</v>
      </c>
      <c r="AL681" s="62" t="n">
        <f aca="false">AK681*0.7</f>
        <v>37.59</v>
      </c>
      <c r="AM681" s="62"/>
      <c r="AN681" s="58" t="n">
        <v>0</v>
      </c>
      <c r="AO681" s="58" t="n">
        <v>6.66</v>
      </c>
      <c r="AP681" s="62" t="n">
        <v>21.3</v>
      </c>
      <c r="AQ681" s="62" t="n">
        <v>289</v>
      </c>
      <c r="AR681" s="62" t="n">
        <f aca="false">0.55*AQ681</f>
        <v>158.95</v>
      </c>
      <c r="AS681" s="58" t="n">
        <v>0</v>
      </c>
      <c r="AT681" s="58" t="n">
        <v>8.11</v>
      </c>
      <c r="AU681" s="62" t="n">
        <v>22.1</v>
      </c>
      <c r="AV681" s="62" t="n">
        <v>480</v>
      </c>
      <c r="AW681" s="62" t="n">
        <f aca="false">0.55*AV681</f>
        <v>264</v>
      </c>
      <c r="AX681" s="62" t="n">
        <v>0.9</v>
      </c>
      <c r="AY681" s="58" t="n">
        <v>0</v>
      </c>
    </row>
    <row r="682" customFormat="false" ht="15" hidden="false" customHeight="false" outlineLevel="0" collapsed="false">
      <c r="A682" s="16" t="n">
        <v>45300</v>
      </c>
      <c r="B682" s="2" t="s">
        <v>52</v>
      </c>
      <c r="C682" s="29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</row>
    <row r="683" customFormat="false" ht="15" hidden="false" customHeight="false" outlineLevel="0" collapsed="false">
      <c r="A683" s="16" t="n">
        <v>45300</v>
      </c>
      <c r="B683" s="2" t="s">
        <v>57</v>
      </c>
      <c r="C683" s="29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</row>
    <row r="684" customFormat="false" ht="16.15" hidden="false" customHeight="false" outlineLevel="0" collapsed="false">
      <c r="A684" s="16" t="n">
        <v>45331</v>
      </c>
      <c r="B684" s="2" t="s">
        <v>51</v>
      </c>
      <c r="C684" s="57" t="n">
        <v>8.08</v>
      </c>
      <c r="D684" s="62" t="n">
        <v>24.2</v>
      </c>
      <c r="E684" s="62" t="n">
        <v>53.9</v>
      </c>
      <c r="F684" s="62" t="n">
        <f aca="false">E684*0.7</f>
        <v>37.73</v>
      </c>
      <c r="G684" s="62" t="n">
        <v>0.22</v>
      </c>
      <c r="H684" s="58" t="n">
        <v>8.05</v>
      </c>
      <c r="I684" s="62" t="n">
        <v>23.8</v>
      </c>
      <c r="J684" s="63"/>
      <c r="K684" s="63"/>
      <c r="L684" s="62" t="n">
        <v>0.5</v>
      </c>
      <c r="M684" s="58" t="n">
        <v>8.05</v>
      </c>
      <c r="N684" s="62" t="n">
        <v>23.8</v>
      </c>
      <c r="O684" s="63"/>
      <c r="P684" s="63"/>
      <c r="Q684" s="62" t="n">
        <v>0.62</v>
      </c>
      <c r="R684" s="58" t="n">
        <v>8.03</v>
      </c>
      <c r="S684" s="62" t="n">
        <v>23.3</v>
      </c>
      <c r="T684" s="63"/>
      <c r="U684" s="63"/>
      <c r="V684" s="58" t="n">
        <v>0.02</v>
      </c>
      <c r="W684" s="58" t="n">
        <v>8.03</v>
      </c>
      <c r="X684" s="62" t="n">
        <v>23.4</v>
      </c>
      <c r="Y684" s="63"/>
      <c r="Z684" s="63"/>
      <c r="AA684" s="58" t="n">
        <v>0.03</v>
      </c>
      <c r="AB684" s="58" t="n">
        <v>8</v>
      </c>
      <c r="AC684" s="62" t="n">
        <v>23.7</v>
      </c>
      <c r="AD684" s="62" t="n">
        <v>53.8</v>
      </c>
      <c r="AE684" s="62" t="n">
        <f aca="false">AD684*0.7</f>
        <v>37.66</v>
      </c>
      <c r="AF684" s="62"/>
      <c r="AG684" s="58" t="n">
        <v>0.01</v>
      </c>
      <c r="AH684" s="62"/>
      <c r="AI684" s="58" t="n">
        <v>8</v>
      </c>
      <c r="AJ684" s="62" t="n">
        <v>23.6</v>
      </c>
      <c r="AK684" s="62" t="n">
        <v>53.8</v>
      </c>
      <c r="AL684" s="62" t="n">
        <f aca="false">AK684*0.7</f>
        <v>37.66</v>
      </c>
      <c r="AM684" s="62"/>
      <c r="AN684" s="58" t="n">
        <v>0.01</v>
      </c>
      <c r="AO684" s="58" t="n">
        <v>6.57</v>
      </c>
      <c r="AP684" s="62" t="n">
        <v>22.9</v>
      </c>
      <c r="AQ684" s="62" t="n">
        <v>497</v>
      </c>
      <c r="AR684" s="62" t="n">
        <f aca="false">0.55*AQ684</f>
        <v>273.35</v>
      </c>
      <c r="AS684" s="58" t="n">
        <v>0.01</v>
      </c>
      <c r="AT684" s="58" t="n">
        <v>8.25</v>
      </c>
      <c r="AU684" s="62" t="n">
        <v>23.3</v>
      </c>
      <c r="AV684" s="62" t="n">
        <v>499</v>
      </c>
      <c r="AW684" s="62" t="n">
        <f aca="false">0.55*AV684</f>
        <v>274.45</v>
      </c>
      <c r="AX684" s="62" t="n">
        <v>0.9</v>
      </c>
      <c r="AY684" s="58" t="n">
        <v>0.01</v>
      </c>
    </row>
    <row r="685" customFormat="false" ht="15" hidden="false" customHeight="false" outlineLevel="0" collapsed="false">
      <c r="A685" s="16" t="n">
        <v>45331</v>
      </c>
      <c r="B685" s="2" t="s">
        <v>52</v>
      </c>
      <c r="C685" s="29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</row>
    <row r="686" customFormat="false" ht="15" hidden="false" customHeight="false" outlineLevel="0" collapsed="false">
      <c r="A686" s="16" t="n">
        <v>45331</v>
      </c>
      <c r="B686" s="2" t="s">
        <v>57</v>
      </c>
      <c r="C686" s="29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</row>
    <row r="687" customFormat="false" ht="16.15" hidden="false" customHeight="false" outlineLevel="0" collapsed="false">
      <c r="A687" s="16" t="n">
        <v>45360</v>
      </c>
      <c r="B687" s="2" t="s">
        <v>51</v>
      </c>
      <c r="C687" s="57" t="n">
        <v>8.06</v>
      </c>
      <c r="D687" s="62" t="n">
        <v>24.6</v>
      </c>
      <c r="E687" s="62" t="n">
        <v>53.8</v>
      </c>
      <c r="F687" s="62" t="n">
        <f aca="false">E687*0.7</f>
        <v>37.66</v>
      </c>
      <c r="G687" s="62" t="n">
        <v>0.14</v>
      </c>
      <c r="H687" s="58" t="n">
        <v>8.04</v>
      </c>
      <c r="I687" s="62" t="n">
        <v>22.9</v>
      </c>
      <c r="J687" s="63"/>
      <c r="K687" s="63"/>
      <c r="L687" s="62" t="n">
        <v>0.45</v>
      </c>
      <c r="M687" s="58" t="n">
        <v>8.02</v>
      </c>
      <c r="N687" s="62" t="n">
        <v>22.6</v>
      </c>
      <c r="O687" s="63"/>
      <c r="P687" s="63"/>
      <c r="Q687" s="62" t="n">
        <v>0.39</v>
      </c>
      <c r="R687" s="58" t="n">
        <v>8</v>
      </c>
      <c r="S687" s="62" t="n">
        <v>22.4</v>
      </c>
      <c r="T687" s="63"/>
      <c r="U687" s="63"/>
      <c r="V687" s="58" t="n">
        <v>0.1</v>
      </c>
      <c r="W687" s="58" t="n">
        <v>8</v>
      </c>
      <c r="X687" s="62" t="n">
        <v>22.4</v>
      </c>
      <c r="Y687" s="63"/>
      <c r="Z687" s="63"/>
      <c r="AA687" s="58" t="n">
        <v>0.08</v>
      </c>
      <c r="AB687" s="58" t="n">
        <v>8</v>
      </c>
      <c r="AC687" s="62" t="n">
        <v>22.6</v>
      </c>
      <c r="AD687" s="62" t="n">
        <v>53.7</v>
      </c>
      <c r="AE687" s="62" t="n">
        <f aca="false">AD687*0.7</f>
        <v>37.59</v>
      </c>
      <c r="AF687" s="62"/>
      <c r="AG687" s="58" t="n">
        <v>0</v>
      </c>
      <c r="AH687" s="62"/>
      <c r="AI687" s="58" t="n">
        <v>8</v>
      </c>
      <c r="AJ687" s="62" t="n">
        <v>22.6</v>
      </c>
      <c r="AK687" s="62" t="n">
        <v>53.7</v>
      </c>
      <c r="AL687" s="62" t="n">
        <f aca="false">AK687*0.7</f>
        <v>37.59</v>
      </c>
      <c r="AM687" s="62"/>
      <c r="AN687" s="58" t="n">
        <v>0</v>
      </c>
      <c r="AO687" s="58" t="n">
        <v>6.69</v>
      </c>
      <c r="AP687" s="62" t="n">
        <v>22.8</v>
      </c>
      <c r="AQ687" s="62" t="n">
        <v>350</v>
      </c>
      <c r="AR687" s="62" t="n">
        <f aca="false">0.55*AQ687</f>
        <v>192.5</v>
      </c>
      <c r="AS687" s="58" t="n">
        <v>0</v>
      </c>
      <c r="AT687" s="58" t="n">
        <v>8.34</v>
      </c>
      <c r="AU687" s="62" t="n">
        <v>24.1</v>
      </c>
      <c r="AV687" s="62" t="n">
        <v>622</v>
      </c>
      <c r="AW687" s="62" t="n">
        <f aca="false">0.55*AV687</f>
        <v>342.1</v>
      </c>
      <c r="AX687" s="62" t="n">
        <v>0.7</v>
      </c>
      <c r="AY687" s="58" t="n">
        <v>0.2</v>
      </c>
    </row>
    <row r="688" customFormat="false" ht="15" hidden="false" customHeight="false" outlineLevel="0" collapsed="false">
      <c r="A688" s="16" t="n">
        <v>45360</v>
      </c>
      <c r="B688" s="2" t="s">
        <v>52</v>
      </c>
      <c r="C688" s="29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</row>
    <row r="689" customFormat="false" ht="15" hidden="false" customHeight="false" outlineLevel="0" collapsed="false">
      <c r="A689" s="16" t="n">
        <v>45360</v>
      </c>
      <c r="B689" s="2" t="s">
        <v>57</v>
      </c>
      <c r="C689" s="29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</row>
    <row r="690" customFormat="false" ht="16.15" hidden="false" customHeight="false" outlineLevel="0" collapsed="false">
      <c r="A690" s="16" t="n">
        <v>45391</v>
      </c>
      <c r="B690" s="2" t="s">
        <v>51</v>
      </c>
      <c r="C690" s="57" t="n">
        <v>8.08</v>
      </c>
      <c r="D690" s="62" t="n">
        <v>25.3</v>
      </c>
      <c r="E690" s="62" t="n">
        <v>53.8</v>
      </c>
      <c r="F690" s="62" t="n">
        <f aca="false">E690*0.7</f>
        <v>37.66</v>
      </c>
      <c r="G690" s="62" t="n">
        <v>0.42</v>
      </c>
      <c r="H690" s="58" t="n">
        <v>8.06</v>
      </c>
      <c r="I690" s="62" t="n">
        <v>23.8</v>
      </c>
      <c r="J690" s="63"/>
      <c r="K690" s="63"/>
      <c r="L690" s="62" t="n">
        <v>0.58</v>
      </c>
      <c r="M690" s="58" t="n">
        <v>8.06</v>
      </c>
      <c r="N690" s="62" t="n">
        <v>23.8</v>
      </c>
      <c r="O690" s="63"/>
      <c r="P690" s="63"/>
      <c r="Q690" s="62" t="n">
        <v>0.44</v>
      </c>
      <c r="R690" s="58" t="n">
        <v>8.04</v>
      </c>
      <c r="S690" s="62" t="n">
        <v>23.9</v>
      </c>
      <c r="T690" s="63"/>
      <c r="U690" s="63"/>
      <c r="V690" s="58" t="n">
        <v>0.1</v>
      </c>
      <c r="W690" s="58" t="n">
        <v>8.03</v>
      </c>
      <c r="X690" s="62" t="n">
        <v>23.9</v>
      </c>
      <c r="Y690" s="63"/>
      <c r="Z690" s="63"/>
      <c r="AA690" s="58" t="n">
        <v>0.12</v>
      </c>
      <c r="AB690" s="58" t="n">
        <v>8</v>
      </c>
      <c r="AC690" s="62" t="n">
        <v>24</v>
      </c>
      <c r="AD690" s="62" t="n">
        <v>53.7</v>
      </c>
      <c r="AE690" s="62" t="n">
        <f aca="false">AD690*0.7</f>
        <v>37.59</v>
      </c>
      <c r="AF690" s="62"/>
      <c r="AG690" s="58" t="n">
        <v>0.06</v>
      </c>
      <c r="AH690" s="62"/>
      <c r="AI690" s="58" t="n">
        <v>8</v>
      </c>
      <c r="AJ690" s="62" t="n">
        <v>24</v>
      </c>
      <c r="AK690" s="62" t="n">
        <v>53.7</v>
      </c>
      <c r="AL690" s="62" t="n">
        <f aca="false">AK690*0.7</f>
        <v>37.59</v>
      </c>
      <c r="AM690" s="62"/>
      <c r="AN690" s="58" t="n">
        <v>0.05</v>
      </c>
      <c r="AO690" s="58" t="n">
        <v>6.45</v>
      </c>
      <c r="AP690" s="62" t="n">
        <v>24.6</v>
      </c>
      <c r="AQ690" s="62" t="n">
        <v>473</v>
      </c>
      <c r="AR690" s="62" t="n">
        <f aca="false">0.55*AQ690</f>
        <v>260.15</v>
      </c>
      <c r="AS690" s="58" t="n">
        <v>0.06</v>
      </c>
      <c r="AT690" s="58" t="n">
        <v>8.31</v>
      </c>
      <c r="AU690" s="62" t="n">
        <v>24.9</v>
      </c>
      <c r="AV690" s="62" t="n">
        <v>599</v>
      </c>
      <c r="AW690" s="62" t="n">
        <f aca="false">0.55*AV690</f>
        <v>329.45</v>
      </c>
      <c r="AX690" s="62" t="n">
        <v>1</v>
      </c>
      <c r="AY690" s="58" t="n">
        <v>0.2</v>
      </c>
    </row>
    <row r="691" customFormat="false" ht="15" hidden="false" customHeight="false" outlineLevel="0" collapsed="false">
      <c r="A691" s="16" t="n">
        <v>45391</v>
      </c>
      <c r="B691" s="2" t="s">
        <v>52</v>
      </c>
      <c r="C691" s="29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</row>
    <row r="692" customFormat="false" ht="15" hidden="false" customHeight="false" outlineLevel="0" collapsed="false">
      <c r="A692" s="16" t="n">
        <v>45391</v>
      </c>
      <c r="B692" s="2" t="s">
        <v>57</v>
      </c>
      <c r="C692" s="29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</row>
    <row r="693" customFormat="false" ht="16.15" hidden="false" customHeight="false" outlineLevel="0" collapsed="false">
      <c r="A693" s="16" t="n">
        <v>45421</v>
      </c>
      <c r="B693" s="2" t="s">
        <v>51</v>
      </c>
      <c r="C693" s="57" t="n">
        <v>8.08</v>
      </c>
      <c r="D693" s="62" t="n">
        <v>24.2</v>
      </c>
      <c r="E693" s="62" t="n">
        <v>53.8</v>
      </c>
      <c r="F693" s="62" t="n">
        <f aca="false">E693*0.7</f>
        <v>37.66</v>
      </c>
      <c r="G693" s="62" t="n">
        <v>0.35</v>
      </c>
      <c r="H693" s="58" t="n">
        <v>8.07</v>
      </c>
      <c r="I693" s="62" t="n">
        <v>24.1</v>
      </c>
      <c r="J693" s="63"/>
      <c r="K693" s="63"/>
      <c r="L693" s="62" t="n">
        <v>0.55</v>
      </c>
      <c r="M693" s="58" t="n">
        <v>8.07</v>
      </c>
      <c r="N693" s="62" t="n">
        <v>24.1</v>
      </c>
      <c r="O693" s="63"/>
      <c r="P693" s="63"/>
      <c r="Q693" s="62" t="n">
        <v>0.62</v>
      </c>
      <c r="R693" s="58" t="n">
        <v>8.06</v>
      </c>
      <c r="S693" s="62" t="n">
        <v>23.7</v>
      </c>
      <c r="T693" s="63"/>
      <c r="U693" s="63"/>
      <c r="V693" s="58" t="n">
        <v>0</v>
      </c>
      <c r="W693" s="58" t="n">
        <v>8.06</v>
      </c>
      <c r="X693" s="62" t="n">
        <v>23.7</v>
      </c>
      <c r="Y693" s="63"/>
      <c r="Z693" s="63"/>
      <c r="AA693" s="58" t="n">
        <v>0</v>
      </c>
      <c r="AB693" s="58" t="n">
        <v>8.02</v>
      </c>
      <c r="AC693" s="62" t="n">
        <v>23.8</v>
      </c>
      <c r="AD693" s="62" t="n">
        <v>53.7</v>
      </c>
      <c r="AE693" s="62" t="n">
        <f aca="false">AD693*0.7</f>
        <v>37.59</v>
      </c>
      <c r="AF693" s="62"/>
      <c r="AG693" s="58" t="n">
        <v>0</v>
      </c>
      <c r="AH693" s="62"/>
      <c r="AI693" s="58" t="n">
        <v>8.02</v>
      </c>
      <c r="AJ693" s="62" t="n">
        <v>23.8</v>
      </c>
      <c r="AK693" s="62" t="n">
        <v>53.7</v>
      </c>
      <c r="AL693" s="62" t="n">
        <f aca="false">AK693*0.7</f>
        <v>37.59</v>
      </c>
      <c r="AM693" s="62"/>
      <c r="AN693" s="58" t="n">
        <v>0</v>
      </c>
      <c r="AO693" s="58" t="n">
        <v>6.69</v>
      </c>
      <c r="AP693" s="62" t="n">
        <v>24</v>
      </c>
      <c r="AQ693" s="62" t="n">
        <v>388</v>
      </c>
      <c r="AR693" s="62" t="n">
        <f aca="false">0.55*AQ693</f>
        <v>213.4</v>
      </c>
      <c r="AS693" s="58" t="n">
        <v>0</v>
      </c>
      <c r="AT693" s="58" t="n">
        <v>8.08</v>
      </c>
      <c r="AU693" s="62" t="n">
        <v>25</v>
      </c>
      <c r="AV693" s="62" t="n">
        <v>660</v>
      </c>
      <c r="AW693" s="62" t="n">
        <f aca="false">0.55*AV693</f>
        <v>363</v>
      </c>
      <c r="AX693" s="62" t="n">
        <v>0.9</v>
      </c>
      <c r="AY693" s="58" t="n">
        <v>0</v>
      </c>
    </row>
    <row r="694" customFormat="false" ht="15" hidden="false" customHeight="false" outlineLevel="0" collapsed="false">
      <c r="A694" s="16" t="n">
        <v>45421</v>
      </c>
      <c r="B694" s="2" t="s">
        <v>52</v>
      </c>
      <c r="C694" s="29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</row>
    <row r="695" customFormat="false" ht="15" hidden="false" customHeight="false" outlineLevel="0" collapsed="false">
      <c r="A695" s="16" t="n">
        <v>45421</v>
      </c>
      <c r="B695" s="2" t="s">
        <v>57</v>
      </c>
      <c r="C695" s="29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</row>
    <row r="696" customFormat="false" ht="16.15" hidden="false" customHeight="false" outlineLevel="0" collapsed="false">
      <c r="A696" s="16" t="n">
        <v>45452</v>
      </c>
      <c r="B696" s="2" t="s">
        <v>51</v>
      </c>
      <c r="C696" s="57" t="n">
        <v>8.07</v>
      </c>
      <c r="D696" s="62" t="n">
        <v>27.5</v>
      </c>
      <c r="E696" s="62" t="n">
        <v>53.9</v>
      </c>
      <c r="F696" s="62" t="n">
        <f aca="false">E696*0.7</f>
        <v>37.73</v>
      </c>
      <c r="G696" s="62" t="n">
        <v>0.2</v>
      </c>
      <c r="H696" s="58" t="n">
        <v>8.04</v>
      </c>
      <c r="I696" s="62" t="n">
        <v>25.4</v>
      </c>
      <c r="J696" s="63"/>
      <c r="K696" s="63"/>
      <c r="L696" s="62" t="n">
        <v>0.84</v>
      </c>
      <c r="M696" s="58" t="n">
        <v>8.04</v>
      </c>
      <c r="N696" s="62" t="n">
        <v>25.2</v>
      </c>
      <c r="O696" s="63"/>
      <c r="P696" s="63"/>
      <c r="Q696" s="62" t="n">
        <v>0.81</v>
      </c>
      <c r="R696" s="58" t="n">
        <v>8.01</v>
      </c>
      <c r="S696" s="62" t="n">
        <v>25.3</v>
      </c>
      <c r="T696" s="63"/>
      <c r="U696" s="63"/>
      <c r="V696" s="58" t="n">
        <v>0.08</v>
      </c>
      <c r="W696" s="58" t="n">
        <v>8.01</v>
      </c>
      <c r="X696" s="62" t="n">
        <v>25.1</v>
      </c>
      <c r="Y696" s="63"/>
      <c r="Z696" s="63"/>
      <c r="AA696" s="58" t="n">
        <v>0.06</v>
      </c>
      <c r="AB696" s="58" t="n">
        <v>8</v>
      </c>
      <c r="AC696" s="62" t="n">
        <v>25</v>
      </c>
      <c r="AD696" s="62" t="n">
        <v>53.8</v>
      </c>
      <c r="AE696" s="62" t="n">
        <f aca="false">AD696*0.7</f>
        <v>37.66</v>
      </c>
      <c r="AF696" s="62"/>
      <c r="AG696" s="58" t="n">
        <v>0.05</v>
      </c>
      <c r="AH696" s="62"/>
      <c r="AI696" s="58" t="n">
        <v>8</v>
      </c>
      <c r="AJ696" s="62" t="n">
        <v>25</v>
      </c>
      <c r="AK696" s="62" t="n">
        <v>53.8</v>
      </c>
      <c r="AL696" s="62" t="n">
        <f aca="false">AK696*0.7</f>
        <v>37.66</v>
      </c>
      <c r="AM696" s="62"/>
      <c r="AN696" s="58" t="n">
        <v>0.07</v>
      </c>
      <c r="AO696" s="58" t="n">
        <v>6.62</v>
      </c>
      <c r="AP696" s="62" t="n">
        <v>25.3</v>
      </c>
      <c r="AQ696" s="62" t="n">
        <v>391</v>
      </c>
      <c r="AR696" s="62" t="n">
        <f aca="false">0.55*AQ696</f>
        <v>215.05</v>
      </c>
      <c r="AS696" s="58" t="n">
        <v>0.09</v>
      </c>
      <c r="AT696" s="58" t="n">
        <v>8.04</v>
      </c>
      <c r="AU696" s="62" t="n">
        <v>25.4</v>
      </c>
      <c r="AV696" s="62" t="n">
        <v>619</v>
      </c>
      <c r="AW696" s="62" t="n">
        <f aca="false">0.55*AV696</f>
        <v>340.45</v>
      </c>
      <c r="AX696" s="62" t="n">
        <v>0.8</v>
      </c>
      <c r="AY696" s="58" t="n">
        <v>0.18</v>
      </c>
    </row>
    <row r="697" customFormat="false" ht="15" hidden="false" customHeight="false" outlineLevel="0" collapsed="false">
      <c r="A697" s="16" t="n">
        <v>45452</v>
      </c>
      <c r="B697" s="2" t="s">
        <v>52</v>
      </c>
      <c r="C697" s="29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</row>
    <row r="698" customFormat="false" ht="15" hidden="false" customHeight="false" outlineLevel="0" collapsed="false">
      <c r="A698" s="16" t="n">
        <v>45452</v>
      </c>
      <c r="B698" s="2" t="s">
        <v>57</v>
      </c>
      <c r="C698" s="29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</row>
    <row r="699" customFormat="false" ht="16.15" hidden="false" customHeight="false" outlineLevel="0" collapsed="false">
      <c r="A699" s="16" t="n">
        <v>45482</v>
      </c>
      <c r="B699" s="2" t="s">
        <v>51</v>
      </c>
      <c r="C699" s="57" t="n">
        <v>8.09</v>
      </c>
      <c r="D699" s="62" t="n">
        <v>27</v>
      </c>
      <c r="E699" s="62" t="n">
        <v>53.8</v>
      </c>
      <c r="F699" s="62" t="n">
        <f aca="false">E699*0.7</f>
        <v>37.66</v>
      </c>
      <c r="G699" s="62" t="n">
        <v>0.39</v>
      </c>
      <c r="H699" s="58" t="n">
        <v>8.06</v>
      </c>
      <c r="I699" s="62" t="n">
        <v>25.4</v>
      </c>
      <c r="J699" s="63"/>
      <c r="K699" s="63"/>
      <c r="L699" s="62" t="n">
        <v>1.02</v>
      </c>
      <c r="M699" s="58" t="n">
        <v>8.06</v>
      </c>
      <c r="N699" s="62" t="n">
        <v>25.4</v>
      </c>
      <c r="O699" s="63"/>
      <c r="P699" s="63"/>
      <c r="Q699" s="62" t="n">
        <v>0.82</v>
      </c>
      <c r="R699" s="58" t="n">
        <v>8.04</v>
      </c>
      <c r="S699" s="62" t="n">
        <v>24.9</v>
      </c>
      <c r="T699" s="63"/>
      <c r="U699" s="63"/>
      <c r="V699" s="58" t="n">
        <v>0.1</v>
      </c>
      <c r="W699" s="58" t="n">
        <v>8.04</v>
      </c>
      <c r="X699" s="62" t="n">
        <v>24.8</v>
      </c>
      <c r="Y699" s="63"/>
      <c r="Z699" s="63"/>
      <c r="AA699" s="58" t="n">
        <v>0</v>
      </c>
      <c r="AB699" s="58" t="n">
        <v>8</v>
      </c>
      <c r="AC699" s="62" t="n">
        <v>24.8</v>
      </c>
      <c r="AD699" s="62" t="n">
        <v>53.8</v>
      </c>
      <c r="AE699" s="62" t="n">
        <f aca="false">AD699*0.7</f>
        <v>37.66</v>
      </c>
      <c r="AF699" s="62"/>
      <c r="AG699" s="58" t="n">
        <v>0</v>
      </c>
      <c r="AH699" s="62"/>
      <c r="AI699" s="58" t="n">
        <v>8</v>
      </c>
      <c r="AJ699" s="62" t="n">
        <v>24.8</v>
      </c>
      <c r="AK699" s="62" t="n">
        <v>53.8</v>
      </c>
      <c r="AL699" s="62" t="n">
        <f aca="false">AK699*0.7</f>
        <v>37.66</v>
      </c>
      <c r="AM699" s="62"/>
      <c r="AN699" s="58" t="n">
        <v>0</v>
      </c>
      <c r="AO699" s="58" t="n">
        <v>6.48</v>
      </c>
      <c r="AP699" s="62" t="n">
        <v>25.4</v>
      </c>
      <c r="AQ699" s="62" t="n">
        <v>416</v>
      </c>
      <c r="AR699" s="62" t="n">
        <f aca="false">0.55*AQ699</f>
        <v>228.8</v>
      </c>
      <c r="AS699" s="58" t="n">
        <v>0</v>
      </c>
      <c r="AT699" s="58" t="n">
        <v>8</v>
      </c>
      <c r="AU699" s="62" t="n">
        <v>24.6</v>
      </c>
      <c r="AV699" s="62" t="n">
        <v>590</v>
      </c>
      <c r="AW699" s="62" t="n">
        <f aca="false">0.55*AV699</f>
        <v>324.5</v>
      </c>
      <c r="AX699" s="62" t="n">
        <v>0.8</v>
      </c>
      <c r="AY699" s="58" t="n">
        <v>0.12</v>
      </c>
    </row>
    <row r="700" customFormat="false" ht="15" hidden="false" customHeight="false" outlineLevel="0" collapsed="false">
      <c r="A700" s="16" t="n">
        <v>45482</v>
      </c>
      <c r="B700" s="2" t="s">
        <v>52</v>
      </c>
      <c r="C700" s="29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</row>
    <row r="701" customFormat="false" ht="15" hidden="false" customHeight="false" outlineLevel="0" collapsed="false">
      <c r="A701" s="16" t="n">
        <v>45482</v>
      </c>
      <c r="B701" s="2" t="s">
        <v>57</v>
      </c>
      <c r="C701" s="29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</row>
    <row r="702" customFormat="false" ht="16.15" hidden="false" customHeight="false" outlineLevel="0" collapsed="false">
      <c r="A702" s="16" t="n">
        <v>45513</v>
      </c>
      <c r="B702" s="2" t="s">
        <v>51</v>
      </c>
      <c r="C702" s="57" t="n">
        <v>8.06</v>
      </c>
      <c r="D702" s="62" t="n">
        <v>26.8</v>
      </c>
      <c r="E702" s="62" t="n">
        <v>53.9</v>
      </c>
      <c r="F702" s="62" t="n">
        <f aca="false">E702*0.7</f>
        <v>37.73</v>
      </c>
      <c r="G702" s="62" t="n">
        <v>0.15</v>
      </c>
      <c r="H702" s="58" t="n">
        <v>0.04</v>
      </c>
      <c r="I702" s="62" t="n">
        <v>26.2</v>
      </c>
      <c r="J702" s="63"/>
      <c r="K702" s="63"/>
      <c r="L702" s="62" t="n">
        <v>0.47</v>
      </c>
      <c r="M702" s="58" t="n">
        <v>8.04</v>
      </c>
      <c r="N702" s="62" t="n">
        <v>26.1</v>
      </c>
      <c r="O702" s="63"/>
      <c r="P702" s="63"/>
      <c r="Q702" s="62" t="n">
        <v>0.5</v>
      </c>
      <c r="R702" s="58" t="n">
        <v>8</v>
      </c>
      <c r="S702" s="62" t="n">
        <v>26.2</v>
      </c>
      <c r="T702" s="63"/>
      <c r="U702" s="63"/>
      <c r="V702" s="58" t="n">
        <v>0</v>
      </c>
      <c r="W702" s="58" t="n">
        <v>8</v>
      </c>
      <c r="X702" s="62" t="n">
        <v>26.1</v>
      </c>
      <c r="Y702" s="63"/>
      <c r="Z702" s="63"/>
      <c r="AA702" s="58" t="n">
        <v>0</v>
      </c>
      <c r="AB702" s="58" t="n">
        <v>8</v>
      </c>
      <c r="AC702" s="62" t="n">
        <v>26.2</v>
      </c>
      <c r="AD702" s="62" t="n">
        <v>53.9</v>
      </c>
      <c r="AE702" s="62" t="n">
        <f aca="false">AD702*0.7</f>
        <v>37.73</v>
      </c>
      <c r="AF702" s="62"/>
      <c r="AG702" s="58" t="n">
        <v>0</v>
      </c>
      <c r="AH702" s="62"/>
      <c r="AI702" s="58" t="n">
        <v>8</v>
      </c>
      <c r="AJ702" s="62" t="n">
        <v>26.2</v>
      </c>
      <c r="AK702" s="62" t="n">
        <v>53.9</v>
      </c>
      <c r="AL702" s="62" t="n">
        <f aca="false">AK702*0.7</f>
        <v>37.73</v>
      </c>
      <c r="AM702" s="62"/>
      <c r="AN702" s="58" t="n">
        <v>0</v>
      </c>
      <c r="AO702" s="58" t="n">
        <v>6.62</v>
      </c>
      <c r="AP702" s="62" t="n">
        <v>26.5</v>
      </c>
      <c r="AQ702" s="62" t="n">
        <v>763</v>
      </c>
      <c r="AR702" s="62" t="n">
        <f aca="false">0.55*AQ702</f>
        <v>419.65</v>
      </c>
      <c r="AS702" s="58" t="n">
        <v>0.08</v>
      </c>
      <c r="AT702" s="58" t="n">
        <v>8.1</v>
      </c>
      <c r="AU702" s="62" t="n">
        <v>26.7</v>
      </c>
      <c r="AV702" s="62" t="n">
        <v>674</v>
      </c>
      <c r="AW702" s="62" t="n">
        <f aca="false">0.55*AV702</f>
        <v>370.7</v>
      </c>
      <c r="AX702" s="62" t="n">
        <v>0.9</v>
      </c>
      <c r="AY702" s="58" t="n">
        <v>0.2</v>
      </c>
    </row>
    <row r="703" customFormat="false" ht="15" hidden="false" customHeight="false" outlineLevel="0" collapsed="false">
      <c r="A703" s="16" t="n">
        <v>45513</v>
      </c>
      <c r="B703" s="2" t="s">
        <v>52</v>
      </c>
      <c r="C703" s="29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</row>
    <row r="704" customFormat="false" ht="15" hidden="false" customHeight="false" outlineLevel="0" collapsed="false">
      <c r="A704" s="16" t="n">
        <v>45513</v>
      </c>
      <c r="B704" s="2" t="s">
        <v>57</v>
      </c>
      <c r="C704" s="29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</row>
    <row r="705" customFormat="false" ht="16.15" hidden="false" customHeight="false" outlineLevel="0" collapsed="false">
      <c r="A705" s="16" t="n">
        <v>45544</v>
      </c>
      <c r="B705" s="2" t="s">
        <v>51</v>
      </c>
      <c r="C705" s="57" t="n">
        <v>8.08</v>
      </c>
      <c r="D705" s="62" t="n">
        <v>27.3</v>
      </c>
      <c r="E705" s="62" t="n">
        <v>54</v>
      </c>
      <c r="F705" s="62" t="n">
        <f aca="false">E705*0.7</f>
        <v>37.8</v>
      </c>
      <c r="G705" s="62" t="n">
        <v>0.21</v>
      </c>
      <c r="H705" s="58" t="n">
        <v>8.05</v>
      </c>
      <c r="I705" s="62" t="n">
        <v>27</v>
      </c>
      <c r="J705" s="63"/>
      <c r="K705" s="63"/>
      <c r="L705" s="62" t="n">
        <v>0.85</v>
      </c>
      <c r="M705" s="58" t="n">
        <v>8.01</v>
      </c>
      <c r="N705" s="62" t="n">
        <v>27</v>
      </c>
      <c r="O705" s="63"/>
      <c r="P705" s="63"/>
      <c r="Q705" s="62" t="n">
        <v>0.72</v>
      </c>
      <c r="R705" s="58" t="n">
        <v>8.01</v>
      </c>
      <c r="S705" s="62" t="n">
        <v>26.8</v>
      </c>
      <c r="T705" s="63"/>
      <c r="U705" s="63"/>
      <c r="V705" s="58" t="n">
        <v>0.05</v>
      </c>
      <c r="W705" s="58" t="n">
        <v>8</v>
      </c>
      <c r="X705" s="62" t="n">
        <v>26.8</v>
      </c>
      <c r="Y705" s="63"/>
      <c r="Z705" s="63"/>
      <c r="AA705" s="58" t="n">
        <v>0.03</v>
      </c>
      <c r="AB705" s="58" t="n">
        <v>8</v>
      </c>
      <c r="AC705" s="62" t="n">
        <v>26.9</v>
      </c>
      <c r="AD705" s="62" t="n">
        <v>54</v>
      </c>
      <c r="AE705" s="62" t="n">
        <f aca="false">AD705*0.7</f>
        <v>37.8</v>
      </c>
      <c r="AF705" s="62"/>
      <c r="AG705" s="58" t="n">
        <v>0</v>
      </c>
      <c r="AH705" s="62"/>
      <c r="AI705" s="58" t="n">
        <v>8</v>
      </c>
      <c r="AJ705" s="62" t="n">
        <v>26.9</v>
      </c>
      <c r="AK705" s="62" t="n">
        <v>54</v>
      </c>
      <c r="AL705" s="62" t="n">
        <f aca="false">AK705*0.7</f>
        <v>37.8</v>
      </c>
      <c r="AM705" s="62"/>
      <c r="AN705" s="58" t="n">
        <v>0</v>
      </c>
      <c r="AO705" s="58" t="n">
        <v>6.58</v>
      </c>
      <c r="AP705" s="62" t="n">
        <v>27</v>
      </c>
      <c r="AQ705" s="62" t="n">
        <v>474</v>
      </c>
      <c r="AR705" s="62" t="n">
        <f aca="false">0.55*AQ705</f>
        <v>260.7</v>
      </c>
      <c r="AS705" s="58" t="n">
        <v>0.06</v>
      </c>
      <c r="AT705" s="58" t="n">
        <v>8.2</v>
      </c>
      <c r="AU705" s="62" t="n">
        <v>27.1</v>
      </c>
      <c r="AV705" s="62" t="n">
        <v>700</v>
      </c>
      <c r="AW705" s="62" t="n">
        <f aca="false">0.55*AV705</f>
        <v>385</v>
      </c>
      <c r="AX705" s="62" t="n">
        <v>0.8</v>
      </c>
      <c r="AY705" s="58" t="n">
        <v>0.29</v>
      </c>
    </row>
    <row r="706" customFormat="false" ht="15" hidden="false" customHeight="false" outlineLevel="0" collapsed="false">
      <c r="A706" s="16" t="n">
        <v>45544</v>
      </c>
      <c r="B706" s="2" t="s">
        <v>52</v>
      </c>
      <c r="C706" s="29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</row>
    <row r="707" customFormat="false" ht="15" hidden="false" customHeight="false" outlineLevel="0" collapsed="false">
      <c r="A707" s="16" t="n">
        <v>45544</v>
      </c>
      <c r="B707" s="2" t="s">
        <v>57</v>
      </c>
      <c r="C707" s="29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</row>
    <row r="708" customFormat="false" ht="16.15" hidden="false" customHeight="false" outlineLevel="0" collapsed="false">
      <c r="A708" s="16" t="n">
        <v>45574</v>
      </c>
      <c r="B708" s="2" t="s">
        <v>51</v>
      </c>
      <c r="C708" s="57" t="n">
        <v>8.05</v>
      </c>
      <c r="D708" s="62" t="n">
        <v>26.5</v>
      </c>
      <c r="E708" s="62" t="n">
        <v>53.9</v>
      </c>
      <c r="F708" s="62" t="n">
        <f aca="false">E708*0.7</f>
        <v>37.73</v>
      </c>
      <c r="G708" s="62" t="n">
        <v>0.59</v>
      </c>
      <c r="H708" s="58" t="n">
        <v>8.02</v>
      </c>
      <c r="I708" s="62" t="n">
        <v>26.2</v>
      </c>
      <c r="J708" s="63"/>
      <c r="K708" s="63"/>
      <c r="L708" s="62" t="n">
        <v>0.5</v>
      </c>
      <c r="M708" s="58" t="n">
        <v>8.02</v>
      </c>
      <c r="N708" s="62" t="n">
        <v>26.3</v>
      </c>
      <c r="O708" s="63"/>
      <c r="P708" s="63"/>
      <c r="Q708" s="62" t="n">
        <v>0.68</v>
      </c>
      <c r="R708" s="58" t="n">
        <v>8</v>
      </c>
      <c r="S708" s="62" t="n">
        <v>26.1</v>
      </c>
      <c r="T708" s="63"/>
      <c r="U708" s="63"/>
      <c r="V708" s="58" t="n">
        <v>0</v>
      </c>
      <c r="W708" s="58" t="n">
        <v>7.99</v>
      </c>
      <c r="X708" s="62" t="n">
        <v>26</v>
      </c>
      <c r="Y708" s="63"/>
      <c r="Z708" s="63"/>
      <c r="AA708" s="58" t="n">
        <v>0</v>
      </c>
      <c r="AB708" s="58" t="n">
        <v>7.91</v>
      </c>
      <c r="AC708" s="62" t="n">
        <v>26</v>
      </c>
      <c r="AD708" s="62" t="n">
        <v>54</v>
      </c>
      <c r="AE708" s="62" t="n">
        <f aca="false">AD708*0.7</f>
        <v>37.8</v>
      </c>
      <c r="AF708" s="62"/>
      <c r="AG708" s="58" t="n">
        <v>0</v>
      </c>
      <c r="AH708" s="62"/>
      <c r="AI708" s="58"/>
      <c r="AJ708" s="62"/>
      <c r="AK708" s="62"/>
      <c r="AL708" s="62"/>
      <c r="AM708" s="62"/>
      <c r="AN708" s="58"/>
      <c r="AO708" s="58"/>
      <c r="AP708" s="62" t="n">
        <v>26.6</v>
      </c>
      <c r="AQ708" s="62" t="n">
        <v>615</v>
      </c>
      <c r="AR708" s="62" t="n">
        <f aca="false">0.55*AQ708</f>
        <v>338.25</v>
      </c>
      <c r="AS708" s="58"/>
      <c r="AT708" s="58" t="n">
        <v>8.2</v>
      </c>
      <c r="AU708" s="62" t="n">
        <v>27.5</v>
      </c>
      <c r="AV708" s="62" t="n">
        <v>740</v>
      </c>
      <c r="AW708" s="62" t="n">
        <f aca="false">0.55*AV708</f>
        <v>407</v>
      </c>
      <c r="AX708" s="62" t="n">
        <v>0.9</v>
      </c>
      <c r="AY708" s="58" t="n">
        <v>0.1</v>
      </c>
    </row>
    <row r="709" customFormat="false" ht="15" hidden="false" customHeight="false" outlineLevel="0" collapsed="false">
      <c r="A709" s="16" t="n">
        <v>45574</v>
      </c>
      <c r="B709" s="2" t="s">
        <v>52</v>
      </c>
      <c r="C709" s="29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</row>
    <row r="710" customFormat="false" ht="15" hidden="false" customHeight="false" outlineLevel="0" collapsed="false">
      <c r="A710" s="16" t="n">
        <v>45574</v>
      </c>
      <c r="B710" s="2" t="s">
        <v>57</v>
      </c>
      <c r="C710" s="29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</row>
    <row r="711" customFormat="false" ht="16.15" hidden="false" customHeight="false" outlineLevel="0" collapsed="false">
      <c r="A711" s="16" t="n">
        <v>45605</v>
      </c>
      <c r="B711" s="2" t="s">
        <v>51</v>
      </c>
      <c r="C711" s="57" t="n">
        <v>8.04</v>
      </c>
      <c r="D711" s="62" t="n">
        <v>26.5</v>
      </c>
      <c r="E711" s="62" t="n">
        <v>53.9</v>
      </c>
      <c r="F711" s="62" t="n">
        <f aca="false">E711*0.7</f>
        <v>37.73</v>
      </c>
      <c r="G711" s="62" t="n">
        <v>0.76</v>
      </c>
      <c r="H711" s="58" t="n">
        <v>8.02</v>
      </c>
      <c r="I711" s="62" t="n">
        <v>26.2</v>
      </c>
      <c r="J711" s="63"/>
      <c r="K711" s="63"/>
      <c r="L711" s="62" t="n">
        <v>1.6</v>
      </c>
      <c r="M711" s="58" t="n">
        <v>8.03</v>
      </c>
      <c r="N711" s="62" t="n">
        <v>26.2</v>
      </c>
      <c r="O711" s="63"/>
      <c r="P711" s="63"/>
      <c r="Q711" s="62" t="n">
        <v>1.39</v>
      </c>
      <c r="R711" s="58" t="n">
        <v>8</v>
      </c>
      <c r="S711" s="62" t="n">
        <v>26.4</v>
      </c>
      <c r="T711" s="63"/>
      <c r="U711" s="63"/>
      <c r="V711" s="58" t="n">
        <v>0.07</v>
      </c>
      <c r="W711" s="58" t="n">
        <v>8</v>
      </c>
      <c r="X711" s="62" t="n">
        <v>26.4</v>
      </c>
      <c r="Y711" s="63"/>
      <c r="Z711" s="63"/>
      <c r="AA711" s="58" t="n">
        <v>0.09</v>
      </c>
      <c r="AB711" s="58" t="n">
        <v>7.99</v>
      </c>
      <c r="AC711" s="62" t="n">
        <v>25.3</v>
      </c>
      <c r="AD711" s="62" t="n">
        <v>53.9</v>
      </c>
      <c r="AE711" s="62" t="n">
        <f aca="false">AD711*0.7</f>
        <v>37.73</v>
      </c>
      <c r="AF711" s="62"/>
      <c r="AG711" s="58" t="n">
        <v>0.06</v>
      </c>
      <c r="AH711" s="62"/>
      <c r="AI711" s="58" t="n">
        <v>7.98</v>
      </c>
      <c r="AJ711" s="62" t="n">
        <v>25.3</v>
      </c>
      <c r="AK711" s="62" t="n">
        <v>53.9</v>
      </c>
      <c r="AL711" s="62" t="n">
        <f aca="false">AK711*0.7</f>
        <v>37.73</v>
      </c>
      <c r="AM711" s="62"/>
      <c r="AN711" s="58" t="n">
        <v>0.07</v>
      </c>
      <c r="AO711" s="58" t="n">
        <v>6.68</v>
      </c>
      <c r="AP711" s="62" t="n">
        <v>26.8</v>
      </c>
      <c r="AQ711" s="62" t="n">
        <v>678</v>
      </c>
      <c r="AR711" s="62" t="n">
        <f aca="false">0.55*AQ711</f>
        <v>372.9</v>
      </c>
      <c r="AS711" s="58" t="n">
        <v>0.11</v>
      </c>
      <c r="AT711" s="58" t="n">
        <v>8.34</v>
      </c>
      <c r="AU711" s="62" t="n">
        <v>27</v>
      </c>
      <c r="AV711" s="62" t="n">
        <v>774</v>
      </c>
      <c r="AW711" s="62" t="n">
        <f aca="false">0.55*AV711</f>
        <v>425.7</v>
      </c>
      <c r="AX711" s="62" t="n">
        <v>1</v>
      </c>
      <c r="AY711" s="58" t="n">
        <v>0.15</v>
      </c>
    </row>
    <row r="712" customFormat="false" ht="15" hidden="false" customHeight="false" outlineLevel="0" collapsed="false">
      <c r="A712" s="16" t="n">
        <v>45605</v>
      </c>
      <c r="B712" s="2" t="s">
        <v>52</v>
      </c>
      <c r="C712" s="29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</row>
    <row r="713" customFormat="false" ht="15" hidden="false" customHeight="false" outlineLevel="0" collapsed="false">
      <c r="A713" s="16" t="n">
        <v>45605</v>
      </c>
      <c r="B713" s="2" t="s">
        <v>57</v>
      </c>
      <c r="C713" s="29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</row>
    <row r="714" customFormat="false" ht="16.15" hidden="false" customHeight="false" outlineLevel="0" collapsed="false">
      <c r="A714" s="16" t="n">
        <v>45635</v>
      </c>
      <c r="B714" s="2" t="s">
        <v>51</v>
      </c>
      <c r="C714" s="57" t="n">
        <v>8.04</v>
      </c>
      <c r="D714" s="62" t="n">
        <v>25.8</v>
      </c>
      <c r="E714" s="62" t="n">
        <v>53.9</v>
      </c>
      <c r="F714" s="62" t="n">
        <f aca="false">E714*0.7</f>
        <v>37.73</v>
      </c>
      <c r="G714" s="62" t="n">
        <v>0.54</v>
      </c>
      <c r="H714" s="58" t="n">
        <v>8.03</v>
      </c>
      <c r="I714" s="62" t="n">
        <v>25.2</v>
      </c>
      <c r="J714" s="63"/>
      <c r="K714" s="63"/>
      <c r="L714" s="62" t="n">
        <v>0.42</v>
      </c>
      <c r="M714" s="58" t="n">
        <v>8.02</v>
      </c>
      <c r="N714" s="62" t="n">
        <v>25.1</v>
      </c>
      <c r="O714" s="63"/>
      <c r="P714" s="63"/>
      <c r="Q714" s="62" t="n">
        <v>0.65</v>
      </c>
      <c r="R714" s="58" t="n">
        <v>8</v>
      </c>
      <c r="S714" s="62" t="n">
        <v>25.1</v>
      </c>
      <c r="T714" s="63"/>
      <c r="U714" s="63"/>
      <c r="V714" s="58" t="n">
        <v>0.08</v>
      </c>
      <c r="W714" s="58" t="n">
        <v>8.01</v>
      </c>
      <c r="X714" s="62" t="n">
        <v>25.3</v>
      </c>
      <c r="Y714" s="63"/>
      <c r="Z714" s="63"/>
      <c r="AA714" s="58" t="n">
        <v>0.12</v>
      </c>
      <c r="AB714" s="58" t="n">
        <v>8.03</v>
      </c>
      <c r="AC714" s="62" t="n">
        <v>25.2</v>
      </c>
      <c r="AD714" s="62" t="n">
        <v>53.9</v>
      </c>
      <c r="AE714" s="62" t="n">
        <f aca="false">AD714*0.7</f>
        <v>37.73</v>
      </c>
      <c r="AF714" s="62"/>
      <c r="AG714" s="58" t="n">
        <v>0.06</v>
      </c>
      <c r="AH714" s="62"/>
      <c r="AI714" s="58" t="n">
        <v>8.05</v>
      </c>
      <c r="AJ714" s="62" t="n">
        <v>25.2</v>
      </c>
      <c r="AK714" s="62" t="n">
        <v>53.8</v>
      </c>
      <c r="AL714" s="62" t="n">
        <f aca="false">AK714*0.7</f>
        <v>37.66</v>
      </c>
      <c r="AM714" s="62"/>
      <c r="AN714" s="58" t="n">
        <v>0.07</v>
      </c>
      <c r="AO714" s="58" t="n">
        <v>6.71</v>
      </c>
      <c r="AP714" s="62" t="n">
        <v>25.5</v>
      </c>
      <c r="AQ714" s="62" t="n">
        <v>565</v>
      </c>
      <c r="AR714" s="62" t="n">
        <f aca="false">0.55*AQ714</f>
        <v>310.75</v>
      </c>
      <c r="AS714" s="58" t="n">
        <v>0.08</v>
      </c>
      <c r="AT714" s="58" t="n">
        <v>8.26</v>
      </c>
      <c r="AU714" s="62" t="n">
        <v>26.6</v>
      </c>
      <c r="AV714" s="62" t="n">
        <v>765</v>
      </c>
      <c r="AW714" s="62" t="n">
        <f aca="false">0.55*AV714</f>
        <v>420.75</v>
      </c>
      <c r="AX714" s="62" t="n">
        <v>1</v>
      </c>
      <c r="AY714" s="58" t="n">
        <v>0.17</v>
      </c>
    </row>
    <row r="715" customFormat="false" ht="15" hidden="false" customHeight="false" outlineLevel="0" collapsed="false">
      <c r="A715" s="16" t="n">
        <v>45635</v>
      </c>
      <c r="B715" s="2" t="s">
        <v>52</v>
      </c>
      <c r="C715" s="29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</row>
    <row r="716" customFormat="false" ht="15" hidden="false" customHeight="false" outlineLevel="0" collapsed="false">
      <c r="A716" s="16" t="n">
        <v>45635</v>
      </c>
      <c r="B716" s="2" t="s">
        <v>57</v>
      </c>
      <c r="C716" s="29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</row>
    <row r="717" customFormat="false" ht="15" hidden="false" customHeight="false" outlineLevel="0" collapsed="false">
      <c r="A717" s="16" t="s">
        <v>184</v>
      </c>
      <c r="B717" s="2" t="s">
        <v>51</v>
      </c>
      <c r="C717" s="29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</row>
    <row r="718" customFormat="false" ht="15" hidden="false" customHeight="false" outlineLevel="0" collapsed="false">
      <c r="A718" s="16" t="s">
        <v>184</v>
      </c>
      <c r="B718" s="2" t="s">
        <v>52</v>
      </c>
      <c r="C718" s="29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</row>
    <row r="719" customFormat="false" ht="15" hidden="false" customHeight="false" outlineLevel="0" collapsed="false">
      <c r="A719" s="16" t="s">
        <v>184</v>
      </c>
      <c r="B719" s="2" t="s">
        <v>57</v>
      </c>
      <c r="C719" s="29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</row>
    <row r="720" customFormat="false" ht="16.15" hidden="false" customHeight="false" outlineLevel="0" collapsed="false">
      <c r="A720" s="16" t="s">
        <v>185</v>
      </c>
      <c r="B720" s="2" t="s">
        <v>51</v>
      </c>
      <c r="C720" s="57" t="n">
        <v>7.95</v>
      </c>
      <c r="D720" s="62" t="n">
        <v>23.8</v>
      </c>
      <c r="E720" s="62" t="n">
        <v>53.3</v>
      </c>
      <c r="F720" s="62" t="n">
        <f aca="false">E720*0.7</f>
        <v>37.31</v>
      </c>
      <c r="G720" s="62" t="n">
        <v>0.53</v>
      </c>
      <c r="H720" s="58" t="n">
        <v>7.92</v>
      </c>
      <c r="I720" s="62" t="n">
        <v>23.3</v>
      </c>
      <c r="J720" s="63"/>
      <c r="K720" s="63"/>
      <c r="L720" s="62" t="n">
        <v>1.33</v>
      </c>
      <c r="M720" s="58" t="n">
        <v>7.93</v>
      </c>
      <c r="N720" s="62" t="n">
        <v>23.3</v>
      </c>
      <c r="O720" s="63"/>
      <c r="P720" s="63"/>
      <c r="Q720" s="62" t="n">
        <v>1.69</v>
      </c>
      <c r="R720" s="58" t="n">
        <v>7.92</v>
      </c>
      <c r="S720" s="62" t="n">
        <v>23.1</v>
      </c>
      <c r="T720" s="63"/>
      <c r="U720" s="63"/>
      <c r="V720" s="58" t="n">
        <v>0.12</v>
      </c>
      <c r="W720" s="58" t="n">
        <v>7.91</v>
      </c>
      <c r="X720" s="62" t="n">
        <v>23.1</v>
      </c>
      <c r="Y720" s="63"/>
      <c r="Z720" s="63"/>
      <c r="AA720" s="58" t="n">
        <v>0.1</v>
      </c>
      <c r="AB720" s="58" t="n">
        <v>7.9</v>
      </c>
      <c r="AC720" s="62" t="n">
        <v>22.8</v>
      </c>
      <c r="AD720" s="62" t="n">
        <v>53.3</v>
      </c>
      <c r="AE720" s="62" t="n">
        <f aca="false">AD720*0.7</f>
        <v>37.31</v>
      </c>
      <c r="AF720" s="62"/>
      <c r="AG720" s="58" t="n">
        <v>0.08</v>
      </c>
      <c r="AH720" s="62"/>
      <c r="AI720" s="58" t="n">
        <v>7.9</v>
      </c>
      <c r="AJ720" s="62" t="n">
        <v>22.9</v>
      </c>
      <c r="AK720" s="62" t="n">
        <v>53.3</v>
      </c>
      <c r="AL720" s="62" t="n">
        <f aca="false">AK720*0.7</f>
        <v>37.31</v>
      </c>
      <c r="AM720" s="62"/>
      <c r="AN720" s="58" t="n">
        <v>0.09</v>
      </c>
      <c r="AO720" s="58" t="n">
        <v>6.67</v>
      </c>
      <c r="AP720" s="62" t="n">
        <v>23.6</v>
      </c>
      <c r="AQ720" s="62" t="n">
        <v>574</v>
      </c>
      <c r="AR720" s="62" t="n">
        <f aca="false">0.55*AQ720</f>
        <v>315.7</v>
      </c>
      <c r="AS720" s="58" t="n">
        <v>0.11</v>
      </c>
      <c r="AT720" s="58" t="n">
        <v>8.21</v>
      </c>
      <c r="AU720" s="62" t="n">
        <v>24.2</v>
      </c>
      <c r="AV720" s="62" t="n">
        <v>713</v>
      </c>
      <c r="AW720" s="62" t="n">
        <f aca="false">0.55*AV720</f>
        <v>392.15</v>
      </c>
      <c r="AX720" s="62" t="n">
        <v>1</v>
      </c>
      <c r="AY720" s="58" t="n">
        <v>0.2</v>
      </c>
    </row>
    <row r="721" customFormat="false" ht="15" hidden="false" customHeight="false" outlineLevel="0" collapsed="false">
      <c r="A721" s="16" t="s">
        <v>185</v>
      </c>
      <c r="B721" s="2" t="s">
        <v>52</v>
      </c>
      <c r="C721" s="29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</row>
    <row r="722" customFormat="false" ht="15" hidden="false" customHeight="false" outlineLevel="0" collapsed="false">
      <c r="A722" s="16" t="s">
        <v>185</v>
      </c>
      <c r="B722" s="2" t="s">
        <v>57</v>
      </c>
      <c r="C722" s="29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</row>
    <row r="723" customFormat="false" ht="16.15" hidden="false" customHeight="false" outlineLevel="0" collapsed="false">
      <c r="A723" s="16" t="s">
        <v>186</v>
      </c>
      <c r="B723" s="2" t="s">
        <v>51</v>
      </c>
      <c r="C723" s="57" t="n">
        <v>7.9</v>
      </c>
      <c r="D723" s="62" t="n">
        <v>23.1</v>
      </c>
      <c r="E723" s="62" t="n">
        <v>53.4</v>
      </c>
      <c r="F723" s="62" t="n">
        <f aca="false">E723*0.7</f>
        <v>37.38</v>
      </c>
      <c r="G723" s="62" t="n">
        <v>2.83</v>
      </c>
      <c r="H723" s="58" t="n">
        <v>7.88</v>
      </c>
      <c r="I723" s="62" t="n">
        <v>21.5</v>
      </c>
      <c r="J723" s="63"/>
      <c r="K723" s="63"/>
      <c r="L723" s="62" t="n">
        <v>4.52</v>
      </c>
      <c r="M723" s="58" t="n">
        <v>7.89</v>
      </c>
      <c r="N723" s="62" t="n">
        <v>21.4</v>
      </c>
      <c r="O723" s="63"/>
      <c r="P723" s="63"/>
      <c r="Q723" s="62" t="n">
        <v>4.44</v>
      </c>
      <c r="R723" s="58" t="n">
        <v>7.86</v>
      </c>
      <c r="S723" s="62" t="n">
        <v>21.1</v>
      </c>
      <c r="T723" s="63"/>
      <c r="U723" s="63"/>
      <c r="V723" s="58" t="n">
        <v>0.17</v>
      </c>
      <c r="W723" s="58" t="n">
        <v>7.86</v>
      </c>
      <c r="X723" s="62" t="n">
        <v>21.1</v>
      </c>
      <c r="Y723" s="63"/>
      <c r="Z723" s="63"/>
      <c r="AA723" s="58" t="n">
        <v>0.17</v>
      </c>
      <c r="AB723" s="58" t="n">
        <v>7.84</v>
      </c>
      <c r="AC723" s="62" t="n">
        <v>21.3</v>
      </c>
      <c r="AD723" s="62" t="n">
        <v>53.3</v>
      </c>
      <c r="AE723" s="62" t="n">
        <f aca="false">AD723*0.7</f>
        <v>37.31</v>
      </c>
      <c r="AF723" s="62"/>
      <c r="AG723" s="58" t="n">
        <v>0.08</v>
      </c>
      <c r="AH723" s="62"/>
      <c r="AI723" s="58" t="n">
        <v>7.85</v>
      </c>
      <c r="AJ723" s="62" t="n">
        <v>21.3</v>
      </c>
      <c r="AK723" s="62" t="n">
        <v>53.3</v>
      </c>
      <c r="AL723" s="62" t="n">
        <f aca="false">AK723*0.7</f>
        <v>37.31</v>
      </c>
      <c r="AM723" s="62"/>
      <c r="AN723" s="58" t="n">
        <v>0.09</v>
      </c>
      <c r="AO723" s="58" t="n">
        <v>6.51</v>
      </c>
      <c r="AP723" s="62" t="n">
        <v>21.6</v>
      </c>
      <c r="AQ723" s="62" t="n">
        <v>415</v>
      </c>
      <c r="AR723" s="62" t="n">
        <f aca="false">0.55*AQ723</f>
        <v>228.25</v>
      </c>
      <c r="AS723" s="58" t="n">
        <v>0.1</v>
      </c>
      <c r="AT723" s="58" t="n">
        <v>7.96</v>
      </c>
      <c r="AU723" s="62" t="n">
        <v>22</v>
      </c>
      <c r="AV723" s="62" t="n">
        <v>608</v>
      </c>
      <c r="AW723" s="62" t="n">
        <f aca="false">0.55*AV723</f>
        <v>334.4</v>
      </c>
      <c r="AX723" s="62" t="n">
        <v>0.8</v>
      </c>
      <c r="AY723" s="58" t="n">
        <v>0.44</v>
      </c>
    </row>
    <row r="724" customFormat="false" ht="15" hidden="false" customHeight="false" outlineLevel="0" collapsed="false">
      <c r="A724" s="16" t="s">
        <v>186</v>
      </c>
      <c r="B724" s="2" t="s">
        <v>52</v>
      </c>
      <c r="C724" s="29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</row>
    <row r="725" customFormat="false" ht="15" hidden="false" customHeight="false" outlineLevel="0" collapsed="false">
      <c r="A725" s="16" t="s">
        <v>186</v>
      </c>
      <c r="B725" s="2" t="s">
        <v>57</v>
      </c>
      <c r="C725" s="29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</row>
    <row r="726" customFormat="false" ht="16.15" hidden="false" customHeight="false" outlineLevel="0" collapsed="false">
      <c r="A726" s="16" t="s">
        <v>187</v>
      </c>
      <c r="B726" s="2" t="s">
        <v>51</v>
      </c>
      <c r="C726" s="57" t="n">
        <v>7.93</v>
      </c>
      <c r="D726" s="62" t="n">
        <v>24.9</v>
      </c>
      <c r="E726" s="62" t="n">
        <v>53.8</v>
      </c>
      <c r="F726" s="62" t="n">
        <f aca="false">E726*0.7</f>
        <v>37.66</v>
      </c>
      <c r="G726" s="62" t="n">
        <v>0.26</v>
      </c>
      <c r="H726" s="58" t="n">
        <v>7.92</v>
      </c>
      <c r="I726" s="62" t="n">
        <v>23.5</v>
      </c>
      <c r="J726" s="63"/>
      <c r="K726" s="63"/>
      <c r="L726" s="62" t="n">
        <v>1.11</v>
      </c>
      <c r="M726" s="58" t="n">
        <v>7.93</v>
      </c>
      <c r="N726" s="62" t="n">
        <v>23.6</v>
      </c>
      <c r="O726" s="63"/>
      <c r="P726" s="63"/>
      <c r="Q726" s="62" t="n">
        <v>0.74</v>
      </c>
      <c r="R726" s="58" t="n">
        <v>7.91</v>
      </c>
      <c r="S726" s="62" t="n">
        <v>23.6</v>
      </c>
      <c r="T726" s="63"/>
      <c r="U726" s="63"/>
      <c r="V726" s="58" t="n">
        <v>0.05</v>
      </c>
      <c r="W726" s="58" t="n">
        <v>7.91</v>
      </c>
      <c r="X726" s="62" t="n">
        <v>23.6</v>
      </c>
      <c r="Y726" s="63"/>
      <c r="Z726" s="63"/>
      <c r="AA726" s="58" t="n">
        <v>0.04</v>
      </c>
      <c r="AB726" s="58" t="n">
        <v>7.96</v>
      </c>
      <c r="AC726" s="62" t="n">
        <v>23.1</v>
      </c>
      <c r="AD726" s="62" t="n">
        <v>53.8</v>
      </c>
      <c r="AE726" s="62" t="n">
        <f aca="false">AD726*0.7</f>
        <v>37.66</v>
      </c>
      <c r="AF726" s="62"/>
      <c r="AG726" s="58" t="n">
        <v>0.03</v>
      </c>
      <c r="AH726" s="62"/>
      <c r="AI726" s="58" t="n">
        <v>7.95</v>
      </c>
      <c r="AJ726" s="62" t="n">
        <v>23.2</v>
      </c>
      <c r="AK726" s="62" t="n">
        <v>53.8</v>
      </c>
      <c r="AL726" s="62" t="n">
        <f aca="false">AK726*0.7</f>
        <v>37.66</v>
      </c>
      <c r="AM726" s="62"/>
      <c r="AN726" s="58" t="n">
        <v>0.02</v>
      </c>
      <c r="AO726" s="58" t="n">
        <v>6.65</v>
      </c>
      <c r="AP726" s="62" t="n">
        <v>23.7</v>
      </c>
      <c r="AQ726" s="62" t="n">
        <v>507</v>
      </c>
      <c r="AR726" s="62" t="n">
        <f aca="false">0.55*AQ726</f>
        <v>278.85</v>
      </c>
      <c r="AS726" s="58" t="n">
        <v>0.05</v>
      </c>
      <c r="AT726" s="58" t="n">
        <v>8.05</v>
      </c>
      <c r="AU726" s="62" t="n">
        <v>24.1</v>
      </c>
      <c r="AV726" s="62" t="n">
        <v>654</v>
      </c>
      <c r="AW726" s="62" t="n">
        <f aca="false">0.55*AV726</f>
        <v>359.7</v>
      </c>
      <c r="AX726" s="62" t="n">
        <v>1</v>
      </c>
      <c r="AY726" s="58" t="n">
        <v>0.09</v>
      </c>
    </row>
    <row r="727" customFormat="false" ht="15" hidden="false" customHeight="false" outlineLevel="0" collapsed="false">
      <c r="A727" s="16" t="s">
        <v>187</v>
      </c>
      <c r="B727" s="2" t="s">
        <v>52</v>
      </c>
      <c r="C727" s="29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</row>
    <row r="728" customFormat="false" ht="15" hidden="false" customHeight="false" outlineLevel="0" collapsed="false">
      <c r="A728" s="16" t="s">
        <v>187</v>
      </c>
      <c r="B728" s="2" t="s">
        <v>57</v>
      </c>
      <c r="C728" s="29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</row>
    <row r="729" customFormat="false" ht="16.15" hidden="false" customHeight="false" outlineLevel="0" collapsed="false">
      <c r="A729" s="16" t="s">
        <v>188</v>
      </c>
      <c r="B729" s="2" t="s">
        <v>51</v>
      </c>
      <c r="C729" s="57" t="n">
        <v>7.95</v>
      </c>
      <c r="D729" s="62" t="n">
        <v>24.9</v>
      </c>
      <c r="E729" s="62" t="n">
        <v>54.1</v>
      </c>
      <c r="F729" s="62" t="n">
        <f aca="false">E729*0.7</f>
        <v>37.87</v>
      </c>
      <c r="G729" s="62" t="n">
        <v>0.38</v>
      </c>
      <c r="H729" s="58" t="n">
        <v>7.92</v>
      </c>
      <c r="I729" s="62" t="n">
        <v>24.2</v>
      </c>
      <c r="J729" s="63"/>
      <c r="K729" s="63"/>
      <c r="L729" s="62" t="n">
        <v>0.95</v>
      </c>
      <c r="M729" s="58" t="n">
        <v>7.93</v>
      </c>
      <c r="N729" s="62" t="n">
        <v>24.1</v>
      </c>
      <c r="O729" s="63"/>
      <c r="P729" s="63"/>
      <c r="Q729" s="62" t="n">
        <v>1.05</v>
      </c>
      <c r="R729" s="58" t="n">
        <v>7.9</v>
      </c>
      <c r="S729" s="62" t="n">
        <v>24.1</v>
      </c>
      <c r="T729" s="63"/>
      <c r="U729" s="63"/>
      <c r="V729" s="58" t="n">
        <v>0.09</v>
      </c>
      <c r="W729" s="58" t="n">
        <v>7.92</v>
      </c>
      <c r="X729" s="62" t="n">
        <v>24.1</v>
      </c>
      <c r="Y729" s="63"/>
      <c r="Z729" s="63"/>
      <c r="AA729" s="58" t="n">
        <v>0.15</v>
      </c>
      <c r="AB729" s="58" t="n">
        <v>7.89</v>
      </c>
      <c r="AC729" s="62" t="n">
        <v>23.7</v>
      </c>
      <c r="AD729" s="62" t="n">
        <v>54.1</v>
      </c>
      <c r="AE729" s="62" t="n">
        <f aca="false">AD729*0.7</f>
        <v>37.87</v>
      </c>
      <c r="AF729" s="62"/>
      <c r="AG729" s="58" t="n">
        <v>0.07</v>
      </c>
      <c r="AH729" s="62"/>
      <c r="AI729" s="58" t="n">
        <v>7.89</v>
      </c>
      <c r="AJ729" s="62" t="n">
        <v>23.9</v>
      </c>
      <c r="AK729" s="62" t="n">
        <v>54.1</v>
      </c>
      <c r="AL729" s="62" t="n">
        <f aca="false">AK729*0.7</f>
        <v>37.87</v>
      </c>
      <c r="AM729" s="62"/>
      <c r="AN729" s="58" t="n">
        <v>0.11</v>
      </c>
      <c r="AO729" s="58" t="n">
        <v>6.67</v>
      </c>
      <c r="AP729" s="62" t="n">
        <v>24.3</v>
      </c>
      <c r="AQ729" s="62" t="n">
        <v>527</v>
      </c>
      <c r="AR729" s="62" t="n">
        <f aca="false">0.55*AQ729</f>
        <v>289.85</v>
      </c>
      <c r="AS729" s="58" t="n">
        <v>0.13</v>
      </c>
      <c r="AT729" s="58" t="n">
        <v>8.06</v>
      </c>
      <c r="AU729" s="62" t="n">
        <v>24.3</v>
      </c>
      <c r="AV729" s="62" t="n">
        <v>699</v>
      </c>
      <c r="AW729" s="62" t="n">
        <f aca="false">0.55*AV729</f>
        <v>384.45</v>
      </c>
      <c r="AX729" s="62" t="n">
        <v>1</v>
      </c>
      <c r="AY729" s="58" t="n">
        <v>0.18</v>
      </c>
    </row>
    <row r="730" customFormat="false" ht="15" hidden="false" customHeight="false" outlineLevel="0" collapsed="false">
      <c r="A730" s="16" t="s">
        <v>188</v>
      </c>
      <c r="B730" s="2" t="s">
        <v>52</v>
      </c>
      <c r="C730" s="29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</row>
    <row r="731" customFormat="false" ht="15" hidden="false" customHeight="false" outlineLevel="0" collapsed="false">
      <c r="A731" s="16" t="s">
        <v>188</v>
      </c>
      <c r="B731" s="2" t="s">
        <v>57</v>
      </c>
      <c r="C731" s="29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</row>
    <row r="732" customFormat="false" ht="16.15" hidden="false" customHeight="false" outlineLevel="0" collapsed="false">
      <c r="A732" s="16" t="s">
        <v>189</v>
      </c>
      <c r="B732" s="2" t="s">
        <v>51</v>
      </c>
      <c r="C732" s="57" t="n">
        <v>7.9</v>
      </c>
      <c r="D732" s="62" t="n">
        <v>24.3</v>
      </c>
      <c r="E732" s="62" t="n">
        <v>54</v>
      </c>
      <c r="F732" s="62" t="n">
        <f aca="false">E732*0.7</f>
        <v>37.8</v>
      </c>
      <c r="G732" s="62" t="n">
        <v>0.51</v>
      </c>
      <c r="H732" s="58" t="n">
        <v>7.89</v>
      </c>
      <c r="I732" s="62" t="n">
        <v>23.5</v>
      </c>
      <c r="J732" s="63"/>
      <c r="K732" s="63"/>
      <c r="L732" s="62" t="n">
        <v>1.38</v>
      </c>
      <c r="M732" s="58" t="n">
        <v>7.89</v>
      </c>
      <c r="N732" s="62" t="n">
        <v>23.7</v>
      </c>
      <c r="O732" s="63"/>
      <c r="P732" s="63"/>
      <c r="Q732" s="62" t="n">
        <v>1.31</v>
      </c>
      <c r="R732" s="58" t="n">
        <v>7.92</v>
      </c>
      <c r="S732" s="62" t="n">
        <v>23.3</v>
      </c>
      <c r="T732" s="63"/>
      <c r="U732" s="63"/>
      <c r="V732" s="58" t="n">
        <v>0.13</v>
      </c>
      <c r="W732" s="58" t="n">
        <v>7.92</v>
      </c>
      <c r="X732" s="62" t="n">
        <v>23.2</v>
      </c>
      <c r="Y732" s="63"/>
      <c r="Z732" s="63"/>
      <c r="AA732" s="58" t="n">
        <v>0.13</v>
      </c>
      <c r="AB732" s="58" t="n">
        <v>7.83</v>
      </c>
      <c r="AC732" s="62" t="n">
        <v>23.6</v>
      </c>
      <c r="AD732" s="62" t="n">
        <v>54</v>
      </c>
      <c r="AE732" s="62" t="n">
        <f aca="false">AD732*0.7</f>
        <v>37.8</v>
      </c>
      <c r="AF732" s="62"/>
      <c r="AG732" s="58" t="n">
        <v>0.16</v>
      </c>
      <c r="AH732" s="62"/>
      <c r="AI732" s="58" t="n">
        <v>7.88</v>
      </c>
      <c r="AJ732" s="62" t="n">
        <v>23.3</v>
      </c>
      <c r="AK732" s="62" t="n">
        <v>54</v>
      </c>
      <c r="AL732" s="62" t="n">
        <f aca="false">AK732*0.7</f>
        <v>37.8</v>
      </c>
      <c r="AM732" s="62"/>
      <c r="AN732" s="58" t="n">
        <v>0.18</v>
      </c>
      <c r="AO732" s="58" t="n">
        <v>6.55</v>
      </c>
      <c r="AP732" s="62" t="n">
        <v>24.2</v>
      </c>
      <c r="AQ732" s="62" t="n">
        <v>491</v>
      </c>
      <c r="AR732" s="62" t="n">
        <f aca="false">0.55*AQ732</f>
        <v>270.05</v>
      </c>
      <c r="AS732" s="58" t="n">
        <v>0.16</v>
      </c>
      <c r="AT732" s="58" t="n">
        <v>7.98</v>
      </c>
      <c r="AU732" s="62" t="n">
        <v>24.7</v>
      </c>
      <c r="AV732" s="62" t="n">
        <v>682</v>
      </c>
      <c r="AW732" s="62" t="n">
        <f aca="false">0.55*AV732</f>
        <v>375.1</v>
      </c>
      <c r="AX732" s="62" t="n">
        <v>1</v>
      </c>
      <c r="AY732" s="58" t="n">
        <v>0.21</v>
      </c>
    </row>
    <row r="733" customFormat="false" ht="16.15" hidden="false" customHeight="false" outlineLevel="0" collapsed="false">
      <c r="A733" s="16" t="s">
        <v>190</v>
      </c>
      <c r="B733" s="2" t="s">
        <v>51</v>
      </c>
      <c r="C733" s="57" t="n">
        <v>7.9</v>
      </c>
      <c r="D733" s="62" t="n">
        <v>24.3</v>
      </c>
      <c r="E733" s="62" t="n">
        <v>53.9</v>
      </c>
      <c r="F733" s="62" t="n">
        <f aca="false">E733*0.7</f>
        <v>37.73</v>
      </c>
      <c r="G733" s="62" t="n">
        <v>0.3</v>
      </c>
      <c r="H733" s="58" t="n">
        <v>7.89</v>
      </c>
      <c r="I733" s="62" t="n">
        <v>23.5</v>
      </c>
      <c r="J733" s="63"/>
      <c r="K733" s="63"/>
      <c r="L733" s="62" t="n">
        <v>1.08</v>
      </c>
      <c r="M733" s="58" t="n">
        <v>7.9</v>
      </c>
      <c r="N733" s="62" t="n">
        <v>23.5</v>
      </c>
      <c r="O733" s="63"/>
      <c r="P733" s="63"/>
      <c r="Q733" s="62" t="n">
        <v>0.98</v>
      </c>
      <c r="R733" s="58" t="n">
        <v>7.91</v>
      </c>
      <c r="S733" s="62" t="n">
        <v>23.3</v>
      </c>
      <c r="T733" s="63"/>
      <c r="U733" s="63"/>
      <c r="V733" s="58" t="n">
        <v>0.26</v>
      </c>
      <c r="W733" s="58" t="n">
        <v>7.9</v>
      </c>
      <c r="X733" s="62" t="n">
        <v>23.3</v>
      </c>
      <c r="Y733" s="63"/>
      <c r="Z733" s="63"/>
      <c r="AA733" s="58" t="n">
        <v>0.14</v>
      </c>
      <c r="AB733" s="58" t="n">
        <v>7.86</v>
      </c>
      <c r="AC733" s="62" t="n">
        <v>23.2</v>
      </c>
      <c r="AD733" s="62" t="n">
        <v>53.8</v>
      </c>
      <c r="AE733" s="62" t="n">
        <f aca="false">AD733*0.7</f>
        <v>37.66</v>
      </c>
      <c r="AF733" s="62"/>
      <c r="AG733" s="58" t="n">
        <v>0.1</v>
      </c>
      <c r="AH733" s="62"/>
      <c r="AI733" s="58" t="n">
        <v>7.87</v>
      </c>
      <c r="AJ733" s="62" t="n">
        <v>23.3</v>
      </c>
      <c r="AK733" s="62" t="n">
        <v>53.8</v>
      </c>
      <c r="AL733" s="62" t="n">
        <f aca="false">AK733*0.7</f>
        <v>37.66</v>
      </c>
      <c r="AM733" s="62"/>
      <c r="AN733" s="58" t="n">
        <v>0.12</v>
      </c>
      <c r="AO733" s="58" t="n">
        <v>6.7</v>
      </c>
      <c r="AP733" s="62" t="n">
        <v>23.9</v>
      </c>
      <c r="AQ733" s="62" t="n">
        <v>692</v>
      </c>
      <c r="AR733" s="62" t="n">
        <f aca="false">0.55*AQ733</f>
        <v>380.6</v>
      </c>
      <c r="AS733" s="58" t="n">
        <v>0.16</v>
      </c>
      <c r="AT733" s="58" t="n">
        <v>8.03</v>
      </c>
      <c r="AU733" s="62" t="n">
        <v>24.2</v>
      </c>
      <c r="AV733" s="62" t="n">
        <v>637</v>
      </c>
      <c r="AW733" s="62" t="n">
        <f aca="false">0.55*AV733</f>
        <v>350.35</v>
      </c>
      <c r="AX733" s="62" t="n">
        <v>1</v>
      </c>
      <c r="AY733" s="58" t="n">
        <v>0.17</v>
      </c>
    </row>
    <row r="734" customFormat="false" ht="15" hidden="false" customHeight="false" outlineLevel="0" collapsed="false">
      <c r="A734" s="16" t="s">
        <v>190</v>
      </c>
      <c r="B734" s="2" t="s">
        <v>52</v>
      </c>
      <c r="C734" s="29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</row>
    <row r="735" customFormat="false" ht="15" hidden="false" customHeight="false" outlineLevel="0" collapsed="false">
      <c r="A735" s="16" t="s">
        <v>190</v>
      </c>
      <c r="B735" s="2" t="s">
        <v>57</v>
      </c>
      <c r="C735" s="29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</row>
    <row r="736" customFormat="false" ht="16.15" hidden="false" customHeight="false" outlineLevel="0" collapsed="false">
      <c r="A736" s="16" t="s">
        <v>191</v>
      </c>
      <c r="B736" s="2" t="s">
        <v>51</v>
      </c>
      <c r="C736" s="57" t="n">
        <v>8.01</v>
      </c>
      <c r="D736" s="62" t="n">
        <v>22.3</v>
      </c>
      <c r="E736" s="62" t="n">
        <v>53.5</v>
      </c>
      <c r="F736" s="62" t="n">
        <f aca="false">E736*0.7</f>
        <v>37.45</v>
      </c>
      <c r="G736" s="62" t="n">
        <v>0.43</v>
      </c>
      <c r="H736" s="58" t="n">
        <v>7.99</v>
      </c>
      <c r="I736" s="62" t="n">
        <v>21.5</v>
      </c>
      <c r="J736" s="63"/>
      <c r="K736" s="63"/>
      <c r="L736" s="62" t="n">
        <v>0.8</v>
      </c>
      <c r="M736" s="58" t="n">
        <v>7.99</v>
      </c>
      <c r="N736" s="62" t="n">
        <v>21.6</v>
      </c>
      <c r="O736" s="63"/>
      <c r="P736" s="63"/>
      <c r="Q736" s="62" t="n">
        <v>0.61</v>
      </c>
      <c r="R736" s="58" t="n">
        <v>7.97</v>
      </c>
      <c r="S736" s="62" t="n">
        <v>21.6</v>
      </c>
      <c r="T736" s="63"/>
      <c r="U736" s="63"/>
      <c r="V736" s="58" t="n">
        <v>0.05</v>
      </c>
      <c r="W736" s="58" t="n">
        <v>7.96</v>
      </c>
      <c r="X736" s="62" t="n">
        <v>21.5</v>
      </c>
      <c r="Y736" s="63"/>
      <c r="Z736" s="63"/>
      <c r="AA736" s="58" t="n">
        <v>0.11</v>
      </c>
      <c r="AB736" s="58" t="n">
        <v>7.95</v>
      </c>
      <c r="AC736" s="62" t="n">
        <v>21.3</v>
      </c>
      <c r="AD736" s="62" t="n">
        <v>53.3</v>
      </c>
      <c r="AE736" s="62" t="n">
        <f aca="false">AD736*0.7</f>
        <v>37.31</v>
      </c>
      <c r="AF736" s="62"/>
      <c r="AG736" s="58" t="n">
        <v>0.07</v>
      </c>
      <c r="AH736" s="62"/>
      <c r="AI736" s="58" t="n">
        <v>7.95</v>
      </c>
      <c r="AJ736" s="62" t="n">
        <v>21.3</v>
      </c>
      <c r="AK736" s="62" t="n">
        <v>53.3</v>
      </c>
      <c r="AL736" s="62" t="n">
        <f aca="false">AK736*0.7</f>
        <v>37.31</v>
      </c>
      <c r="AM736" s="62"/>
      <c r="AN736" s="58" t="n">
        <v>0.06</v>
      </c>
      <c r="AO736" s="58" t="n">
        <v>6.7</v>
      </c>
      <c r="AP736" s="62" t="n">
        <v>22.1</v>
      </c>
      <c r="AQ736" s="62" t="n">
        <v>337</v>
      </c>
      <c r="AR736" s="62" t="n">
        <f aca="false">0.55*AQ736</f>
        <v>185.35</v>
      </c>
      <c r="AS736" s="58" t="n">
        <v>0.07</v>
      </c>
      <c r="AT736" s="58" t="n">
        <v>8.1</v>
      </c>
      <c r="AU736" s="62" t="n">
        <v>22.5</v>
      </c>
      <c r="AV736" s="62" t="n">
        <v>587</v>
      </c>
      <c r="AW736" s="62" t="n">
        <f aca="false">0.55*AV736</f>
        <v>322.85</v>
      </c>
      <c r="AX736" s="62" t="n">
        <v>0.9</v>
      </c>
      <c r="AY736" s="58" t="n">
        <v>0.2</v>
      </c>
    </row>
    <row r="737" customFormat="false" ht="15" hidden="false" customHeight="false" outlineLevel="0" collapsed="false">
      <c r="A737" s="16" t="s">
        <v>191</v>
      </c>
      <c r="B737" s="2" t="s">
        <v>52</v>
      </c>
      <c r="C737" s="29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</row>
    <row r="738" customFormat="false" ht="15" hidden="false" customHeight="false" outlineLevel="0" collapsed="false">
      <c r="A738" s="16" t="s">
        <v>191</v>
      </c>
      <c r="B738" s="2" t="s">
        <v>57</v>
      </c>
      <c r="C738" s="29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</row>
    <row r="739" customFormat="false" ht="16.15" hidden="false" customHeight="false" outlineLevel="0" collapsed="false">
      <c r="A739" s="16" t="s">
        <v>192</v>
      </c>
      <c r="B739" s="2" t="s">
        <v>51</v>
      </c>
      <c r="C739" s="57" t="n">
        <v>7.99</v>
      </c>
      <c r="D739" s="62" t="n">
        <v>23.3</v>
      </c>
      <c r="E739" s="62" t="n">
        <v>53.2</v>
      </c>
      <c r="F739" s="62" t="n">
        <f aca="false">E739*0.7</f>
        <v>37.24</v>
      </c>
      <c r="G739" s="62" t="n">
        <v>0.29</v>
      </c>
      <c r="H739" s="58" t="n">
        <v>7.99</v>
      </c>
      <c r="I739" s="62" t="n">
        <v>22</v>
      </c>
      <c r="J739" s="63"/>
      <c r="K739" s="63"/>
      <c r="L739" s="62" t="n">
        <v>0.33</v>
      </c>
      <c r="M739" s="58" t="n">
        <v>7.98</v>
      </c>
      <c r="N739" s="62" t="n">
        <v>22</v>
      </c>
      <c r="O739" s="63"/>
      <c r="P739" s="63"/>
      <c r="Q739" s="62" t="n">
        <v>0.26</v>
      </c>
      <c r="R739" s="58" t="n">
        <v>7.96</v>
      </c>
      <c r="S739" s="62" t="n">
        <v>22.1</v>
      </c>
      <c r="T739" s="63"/>
      <c r="U739" s="63"/>
      <c r="V739" s="58" t="n">
        <v>0</v>
      </c>
      <c r="W739" s="58" t="n">
        <v>7.98</v>
      </c>
      <c r="X739" s="62" t="n">
        <v>22.1</v>
      </c>
      <c r="Y739" s="63"/>
      <c r="Z739" s="63"/>
      <c r="AA739" s="58" t="n">
        <v>0</v>
      </c>
      <c r="AB739" s="58" t="n">
        <v>7.97</v>
      </c>
      <c r="AC739" s="62" t="n">
        <v>22.2</v>
      </c>
      <c r="AD739" s="62" t="n">
        <v>53.2</v>
      </c>
      <c r="AE739" s="62" t="n">
        <f aca="false">AD739*0.7</f>
        <v>37.24</v>
      </c>
      <c r="AF739" s="62"/>
      <c r="AG739" s="58" t="n">
        <v>0</v>
      </c>
      <c r="AH739" s="62"/>
      <c r="AI739" s="58" t="n">
        <v>7.95</v>
      </c>
      <c r="AJ739" s="62" t="n">
        <v>22</v>
      </c>
      <c r="AK739" s="62" t="n">
        <v>53.2</v>
      </c>
      <c r="AL739" s="62" t="n">
        <f aca="false">AK739*0.7</f>
        <v>37.24</v>
      </c>
      <c r="AM739" s="62"/>
      <c r="AN739" s="58" t="n">
        <v>0</v>
      </c>
      <c r="AO739" s="58" t="n">
        <v>7.96</v>
      </c>
      <c r="AP739" s="62" t="n">
        <v>22.5</v>
      </c>
      <c r="AQ739" s="62" t="n">
        <v>395</v>
      </c>
      <c r="AR739" s="62" t="n">
        <f aca="false">AQ739*0.55</f>
        <v>217.25</v>
      </c>
      <c r="AS739" s="58" t="n">
        <v>0</v>
      </c>
      <c r="AT739" s="58" t="n">
        <v>8.1</v>
      </c>
      <c r="AU739" s="62" t="n">
        <v>22.9</v>
      </c>
      <c r="AV739" s="62" t="n">
        <v>580</v>
      </c>
      <c r="AW739" s="62" t="n">
        <f aca="false">AV739*0.55</f>
        <v>319</v>
      </c>
      <c r="AX739" s="62" t="n">
        <v>1</v>
      </c>
      <c r="AY739" s="58" t="n">
        <v>0</v>
      </c>
    </row>
    <row r="740" customFormat="false" ht="15" hidden="false" customHeight="false" outlineLevel="0" collapsed="false">
      <c r="A740" s="16" t="s">
        <v>192</v>
      </c>
      <c r="B740" s="2" t="s">
        <v>52</v>
      </c>
      <c r="C740" s="29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</row>
    <row r="741" customFormat="false" ht="15" hidden="false" customHeight="false" outlineLevel="0" collapsed="false">
      <c r="A741" s="16" t="s">
        <v>192</v>
      </c>
      <c r="B741" s="2" t="s">
        <v>57</v>
      </c>
      <c r="C741" s="29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</row>
    <row r="742" customFormat="false" ht="16.15" hidden="false" customHeight="false" outlineLevel="0" collapsed="false">
      <c r="A742" s="16" t="s">
        <v>193</v>
      </c>
      <c r="B742" s="2" t="s">
        <v>51</v>
      </c>
      <c r="C742" s="57" t="n">
        <v>8</v>
      </c>
      <c r="D742" s="62" t="n">
        <v>24.9</v>
      </c>
      <c r="E742" s="62" t="n">
        <v>53.4</v>
      </c>
      <c r="F742" s="62" t="n">
        <f aca="false">E742*0.7</f>
        <v>37.38</v>
      </c>
      <c r="G742" s="58" t="n">
        <v>0</v>
      </c>
      <c r="H742" s="58" t="n">
        <v>7.98</v>
      </c>
      <c r="I742" s="62" t="n">
        <v>22.7</v>
      </c>
      <c r="J742" s="63"/>
      <c r="K742" s="63"/>
      <c r="L742" s="62" t="n">
        <v>0.25</v>
      </c>
      <c r="M742" s="58" t="n">
        <v>7.97</v>
      </c>
      <c r="N742" s="62" t="n">
        <v>22.6</v>
      </c>
      <c r="O742" s="63"/>
      <c r="P742" s="63"/>
      <c r="Q742" s="62" t="n">
        <v>0.31</v>
      </c>
      <c r="R742" s="58" t="n">
        <v>7.96</v>
      </c>
      <c r="S742" s="62" t="n">
        <v>22.5</v>
      </c>
      <c r="T742" s="63"/>
      <c r="U742" s="63"/>
      <c r="V742" s="58" t="n">
        <v>0</v>
      </c>
      <c r="W742" s="58" t="n">
        <v>7.96</v>
      </c>
      <c r="X742" s="62" t="n">
        <v>22.5</v>
      </c>
      <c r="Y742" s="63"/>
      <c r="Z742" s="63"/>
      <c r="AA742" s="58" t="n">
        <v>0</v>
      </c>
      <c r="AB742" s="58" t="n">
        <v>7.94</v>
      </c>
      <c r="AC742" s="62" t="n">
        <v>22.3</v>
      </c>
      <c r="AD742" s="62" t="n">
        <v>53.3</v>
      </c>
      <c r="AE742" s="62" t="n">
        <f aca="false">AD742*0.7</f>
        <v>37.31</v>
      </c>
      <c r="AF742" s="62"/>
      <c r="AG742" s="58" t="n">
        <v>0</v>
      </c>
      <c r="AH742" s="62"/>
      <c r="AI742" s="58" t="n">
        <v>7.94</v>
      </c>
      <c r="AJ742" s="62" t="n">
        <v>22.4</v>
      </c>
      <c r="AK742" s="62" t="n">
        <v>53.3</v>
      </c>
      <c r="AL742" s="62" t="n">
        <f aca="false">AK742*0.7</f>
        <v>37.31</v>
      </c>
      <c r="AM742" s="62"/>
      <c r="AN742" s="58" t="n">
        <v>0</v>
      </c>
      <c r="AO742" s="58" t="n">
        <v>6.65</v>
      </c>
      <c r="AP742" s="62" t="n">
        <v>23.1</v>
      </c>
      <c r="AQ742" s="62" t="n">
        <v>529</v>
      </c>
      <c r="AR742" s="62" t="n">
        <f aca="false">0.55*AQ742</f>
        <v>290.95</v>
      </c>
      <c r="AS742" s="58" t="n">
        <v>0</v>
      </c>
      <c r="AT742" s="58" t="n">
        <v>7.93</v>
      </c>
      <c r="AU742" s="62" t="n">
        <v>23.2</v>
      </c>
      <c r="AV742" s="62" t="n">
        <v>594</v>
      </c>
      <c r="AW742" s="62" t="n">
        <f aca="false">0.55*AV742</f>
        <v>326.7</v>
      </c>
      <c r="AX742" s="62" t="n">
        <v>0.9</v>
      </c>
      <c r="AY742" s="58" t="n">
        <v>0</v>
      </c>
    </row>
    <row r="743" customFormat="false" ht="15" hidden="false" customHeight="false" outlineLevel="0" collapsed="false">
      <c r="A743" s="16" t="s">
        <v>193</v>
      </c>
      <c r="B743" s="2" t="s">
        <v>52</v>
      </c>
      <c r="C743" s="29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</row>
    <row r="744" customFormat="false" ht="15" hidden="false" customHeight="false" outlineLevel="0" collapsed="false">
      <c r="A744" s="16" t="s">
        <v>193</v>
      </c>
      <c r="B744" s="2" t="s">
        <v>57</v>
      </c>
      <c r="C744" s="29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</row>
    <row r="745" customFormat="false" ht="16.15" hidden="false" customHeight="false" outlineLevel="0" collapsed="false">
      <c r="A745" s="16" t="s">
        <v>194</v>
      </c>
      <c r="B745" s="2" t="s">
        <v>51</v>
      </c>
      <c r="C745" s="57" t="n">
        <v>7.99</v>
      </c>
      <c r="D745" s="62" t="n">
        <v>23.3</v>
      </c>
      <c r="E745" s="62" t="n">
        <v>53.3</v>
      </c>
      <c r="F745" s="62" t="n">
        <f aca="false">E745*0.7</f>
        <v>37.31</v>
      </c>
      <c r="G745" s="58" t="n">
        <v>0.01</v>
      </c>
      <c r="H745" s="58" t="n">
        <v>7.96</v>
      </c>
      <c r="I745" s="62" t="n">
        <v>21.5</v>
      </c>
      <c r="J745" s="63"/>
      <c r="K745" s="63"/>
      <c r="L745" s="62" t="n">
        <v>0.08</v>
      </c>
      <c r="M745" s="58" t="n">
        <v>7.96</v>
      </c>
      <c r="N745" s="62" t="n">
        <v>21.5</v>
      </c>
      <c r="O745" s="63"/>
      <c r="P745" s="63"/>
      <c r="Q745" s="62" t="n">
        <v>0.12</v>
      </c>
      <c r="R745" s="58" t="n">
        <v>7.94</v>
      </c>
      <c r="S745" s="62" t="n">
        <v>21.5</v>
      </c>
      <c r="T745" s="63"/>
      <c r="U745" s="63"/>
      <c r="V745" s="58" t="n">
        <v>0</v>
      </c>
      <c r="W745" s="58" t="n">
        <v>7.95</v>
      </c>
      <c r="X745" s="62" t="n">
        <v>21.4</v>
      </c>
      <c r="Y745" s="63"/>
      <c r="Z745" s="63"/>
      <c r="AA745" s="58" t="n">
        <v>0</v>
      </c>
      <c r="AB745" s="58" t="n">
        <v>7.93</v>
      </c>
      <c r="AC745" s="62" t="n">
        <v>20.7</v>
      </c>
      <c r="AD745" s="62" t="n">
        <v>53.3</v>
      </c>
      <c r="AE745" s="62" t="n">
        <f aca="false">AD745*0.7</f>
        <v>37.31</v>
      </c>
      <c r="AF745" s="62"/>
      <c r="AG745" s="58" t="n">
        <v>0</v>
      </c>
      <c r="AH745" s="62"/>
      <c r="AI745" s="58" t="n">
        <v>7.93</v>
      </c>
      <c r="AJ745" s="62" t="n">
        <v>20.8</v>
      </c>
      <c r="AK745" s="62" t="n">
        <v>53.3</v>
      </c>
      <c r="AL745" s="62" t="n">
        <f aca="false">AK745*0.7</f>
        <v>37.31</v>
      </c>
      <c r="AM745" s="62"/>
      <c r="AN745" s="58" t="n">
        <v>0</v>
      </c>
      <c r="AO745" s="58" t="n">
        <v>6.67</v>
      </c>
      <c r="AP745" s="62" t="n">
        <v>21.4</v>
      </c>
      <c r="AQ745" s="62" t="n">
        <v>527</v>
      </c>
      <c r="AR745" s="62" t="n">
        <f aca="false">0.55*AQ745</f>
        <v>289.85</v>
      </c>
      <c r="AS745" s="58" t="n">
        <v>0</v>
      </c>
      <c r="AT745" s="58" t="n">
        <v>8.03</v>
      </c>
      <c r="AU745" s="62" t="n">
        <v>22.5</v>
      </c>
      <c r="AV745" s="62" t="n">
        <v>610</v>
      </c>
      <c r="AW745" s="62" t="n">
        <f aca="false">0.55*AV745</f>
        <v>335.5</v>
      </c>
      <c r="AX745" s="62" t="n">
        <v>1</v>
      </c>
      <c r="AY745" s="58" t="n">
        <v>0</v>
      </c>
    </row>
    <row r="746" customFormat="false" ht="15" hidden="false" customHeight="false" outlineLevel="0" collapsed="false">
      <c r="A746" s="16" t="s">
        <v>194</v>
      </c>
      <c r="B746" s="2" t="s">
        <v>52</v>
      </c>
      <c r="C746" s="29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</row>
    <row r="747" customFormat="false" ht="15" hidden="false" customHeight="false" outlineLevel="0" collapsed="false">
      <c r="A747" s="16" t="s">
        <v>194</v>
      </c>
      <c r="B747" s="2" t="s">
        <v>57</v>
      </c>
      <c r="C747" s="29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</row>
    <row r="748" customFormat="false" ht="16.15" hidden="false" customHeight="false" outlineLevel="0" collapsed="false">
      <c r="A748" s="16" t="s">
        <v>195</v>
      </c>
      <c r="B748" s="2" t="s">
        <v>51</v>
      </c>
      <c r="C748" s="57" t="n">
        <v>7.99</v>
      </c>
      <c r="D748" s="62" t="n">
        <v>23.6</v>
      </c>
      <c r="E748" s="62" t="n">
        <v>53.2</v>
      </c>
      <c r="F748" s="62" t="n">
        <f aca="false">E748*0.7</f>
        <v>37.24</v>
      </c>
      <c r="G748" s="58" t="n">
        <v>0.01</v>
      </c>
      <c r="H748" s="58" t="n">
        <v>7.98</v>
      </c>
      <c r="I748" s="62" t="n">
        <v>22.5</v>
      </c>
      <c r="J748" s="63"/>
      <c r="K748" s="63"/>
      <c r="L748" s="62" t="n">
        <v>0.14</v>
      </c>
      <c r="M748" s="58" t="n">
        <v>7.97</v>
      </c>
      <c r="N748" s="62" t="n">
        <v>22.6</v>
      </c>
      <c r="O748" s="63"/>
      <c r="P748" s="63"/>
      <c r="Q748" s="62" t="n">
        <v>0.1</v>
      </c>
      <c r="R748" s="58" t="n">
        <v>7.95</v>
      </c>
      <c r="S748" s="62" t="n">
        <v>22.4</v>
      </c>
      <c r="T748" s="63"/>
      <c r="U748" s="63"/>
      <c r="V748" s="58" t="n">
        <v>0</v>
      </c>
      <c r="W748" s="58" t="n">
        <v>7.95</v>
      </c>
      <c r="X748" s="62" t="n">
        <v>22.4</v>
      </c>
      <c r="Y748" s="63"/>
      <c r="Z748" s="63"/>
      <c r="AA748" s="58" t="n">
        <v>0</v>
      </c>
      <c r="AB748" s="58" t="n">
        <v>7.92</v>
      </c>
      <c r="AC748" s="62" t="n">
        <v>21.9</v>
      </c>
      <c r="AD748" s="62" t="n">
        <v>53.1</v>
      </c>
      <c r="AE748" s="62" t="n">
        <f aca="false">AD748*0.7</f>
        <v>37.17</v>
      </c>
      <c r="AF748" s="62"/>
      <c r="AG748" s="58" t="n">
        <v>0</v>
      </c>
      <c r="AH748" s="62"/>
      <c r="AI748" s="58" t="n">
        <v>7.93</v>
      </c>
      <c r="AJ748" s="62" t="n">
        <v>22</v>
      </c>
      <c r="AK748" s="62" t="n">
        <v>53.1</v>
      </c>
      <c r="AL748" s="62" t="n">
        <f aca="false">AK748*0.7</f>
        <v>37.17</v>
      </c>
      <c r="AM748" s="62"/>
      <c r="AN748" s="58" t="n">
        <v>0</v>
      </c>
      <c r="AO748" s="58" t="n">
        <v>6.58</v>
      </c>
      <c r="AP748" s="62" t="n">
        <v>22.5</v>
      </c>
      <c r="AQ748" s="62" t="n">
        <v>463</v>
      </c>
      <c r="AR748" s="62" t="n">
        <f aca="false">0.55*AQ748</f>
        <v>254.65</v>
      </c>
      <c r="AS748" s="58" t="n">
        <v>0</v>
      </c>
      <c r="AT748" s="58" t="n">
        <v>8.04</v>
      </c>
      <c r="AU748" s="62" t="n">
        <v>23.3</v>
      </c>
      <c r="AV748" s="62" t="n">
        <v>629</v>
      </c>
      <c r="AW748" s="62" t="n">
        <f aca="false">0.55*AV748</f>
        <v>345.95</v>
      </c>
      <c r="AX748" s="62" t="n">
        <v>1</v>
      </c>
      <c r="AY748" s="58" t="n">
        <v>0</v>
      </c>
    </row>
    <row r="749" customFormat="false" ht="15" hidden="false" customHeight="false" outlineLevel="0" collapsed="false">
      <c r="A749" s="16" t="s">
        <v>195</v>
      </c>
      <c r="B749" s="2" t="s">
        <v>52</v>
      </c>
      <c r="C749" s="29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</row>
    <row r="750" customFormat="false" ht="15" hidden="false" customHeight="false" outlineLevel="0" collapsed="false">
      <c r="A750" s="16" t="s">
        <v>195</v>
      </c>
      <c r="B750" s="2" t="s">
        <v>57</v>
      </c>
      <c r="C750" s="29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</row>
    <row r="751" customFormat="false" ht="16.15" hidden="false" customHeight="false" outlineLevel="0" collapsed="false">
      <c r="A751" s="16" t="s">
        <v>196</v>
      </c>
      <c r="B751" s="2" t="s">
        <v>51</v>
      </c>
      <c r="C751" s="57" t="n">
        <v>8.01</v>
      </c>
      <c r="D751" s="62" t="n">
        <v>24.5</v>
      </c>
      <c r="E751" s="62" t="n">
        <v>53.4</v>
      </c>
      <c r="F751" s="62" t="n">
        <f aca="false">E751*0.7</f>
        <v>37.38</v>
      </c>
      <c r="G751" s="58" t="n">
        <v>0.01</v>
      </c>
      <c r="H751" s="58" t="n">
        <v>8</v>
      </c>
      <c r="I751" s="62" t="n">
        <v>23.5</v>
      </c>
      <c r="J751" s="63"/>
      <c r="K751" s="63"/>
      <c r="L751" s="62" t="n">
        <v>0.36</v>
      </c>
      <c r="M751" s="58" t="n">
        <v>8.01</v>
      </c>
      <c r="N751" s="62" t="n">
        <v>23.5</v>
      </c>
      <c r="O751" s="63"/>
      <c r="P751" s="63"/>
      <c r="Q751" s="62" t="n">
        <v>0.19</v>
      </c>
      <c r="R751" s="58" t="n">
        <v>7.99</v>
      </c>
      <c r="S751" s="62" t="n">
        <v>23.3</v>
      </c>
      <c r="T751" s="63"/>
      <c r="U751" s="63"/>
      <c r="V751" s="58" t="n">
        <v>0</v>
      </c>
      <c r="W751" s="58" t="n">
        <v>7.99</v>
      </c>
      <c r="X751" s="62" t="n">
        <v>23.3</v>
      </c>
      <c r="Y751" s="63"/>
      <c r="Z751" s="63"/>
      <c r="AA751" s="58" t="n">
        <v>0</v>
      </c>
      <c r="AB751" s="58" t="n">
        <v>7.98</v>
      </c>
      <c r="AC751" s="62" t="n">
        <v>23.2</v>
      </c>
      <c r="AD751" s="62" t="n">
        <v>53.4</v>
      </c>
      <c r="AE751" s="62" t="n">
        <f aca="false">AD751*0.7</f>
        <v>37.38</v>
      </c>
      <c r="AF751" s="62"/>
      <c r="AG751" s="58" t="n">
        <v>0</v>
      </c>
      <c r="AH751" s="62"/>
      <c r="AI751" s="58" t="n">
        <v>7.97</v>
      </c>
      <c r="AJ751" s="62" t="n">
        <v>23.4</v>
      </c>
      <c r="AK751" s="62" t="n">
        <v>53.4</v>
      </c>
      <c r="AL751" s="62" t="n">
        <f aca="false">AK751*0.7</f>
        <v>37.38</v>
      </c>
      <c r="AM751" s="62"/>
      <c r="AN751" s="58" t="n">
        <v>0</v>
      </c>
      <c r="AO751" s="58" t="n">
        <v>6.73</v>
      </c>
      <c r="AP751" s="62" t="n">
        <v>23.8</v>
      </c>
      <c r="AQ751" s="62" t="n">
        <v>607</v>
      </c>
      <c r="AR751" s="62" t="n">
        <f aca="false">0.55*AQ751</f>
        <v>333.85</v>
      </c>
      <c r="AS751" s="58" t="n">
        <v>0</v>
      </c>
      <c r="AT751" s="58" t="n">
        <v>8.4</v>
      </c>
      <c r="AU751" s="62" t="n">
        <v>24.2</v>
      </c>
      <c r="AV751" s="62" t="n">
        <v>662</v>
      </c>
      <c r="AW751" s="62" t="n">
        <f aca="false">0.55*AV751</f>
        <v>364.1</v>
      </c>
      <c r="AX751" s="62" t="n">
        <v>1</v>
      </c>
      <c r="AY751" s="58" t="n">
        <v>0</v>
      </c>
    </row>
    <row r="752" customFormat="false" ht="15" hidden="false" customHeight="false" outlineLevel="0" collapsed="false">
      <c r="A752" s="16" t="s">
        <v>196</v>
      </c>
      <c r="B752" s="2" t="s">
        <v>52</v>
      </c>
      <c r="C752" s="29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</row>
    <row r="753" customFormat="false" ht="15" hidden="false" customHeight="false" outlineLevel="0" collapsed="false">
      <c r="A753" s="16" t="s">
        <v>196</v>
      </c>
      <c r="B753" s="2" t="s">
        <v>57</v>
      </c>
      <c r="C753" s="29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</row>
    <row r="754" customFormat="false" ht="16.15" hidden="false" customHeight="false" outlineLevel="0" collapsed="false">
      <c r="A754" s="16" t="s">
        <v>197</v>
      </c>
      <c r="B754" s="2" t="s">
        <v>51</v>
      </c>
      <c r="C754" s="57" t="n">
        <v>8.02</v>
      </c>
      <c r="D754" s="62" t="n">
        <v>24.8</v>
      </c>
      <c r="E754" s="62" t="n">
        <v>53.3</v>
      </c>
      <c r="F754" s="62" t="n">
        <f aca="false">E754*0.7</f>
        <v>37.31</v>
      </c>
      <c r="G754" s="58" t="n">
        <v>0.01</v>
      </c>
      <c r="H754" s="58" t="n">
        <v>8</v>
      </c>
      <c r="I754" s="62" t="n">
        <v>23.6</v>
      </c>
      <c r="J754" s="63"/>
      <c r="K754" s="63"/>
      <c r="L754" s="62" t="n">
        <v>0.01</v>
      </c>
      <c r="M754" s="58" t="n">
        <v>8</v>
      </c>
      <c r="N754" s="62" t="n">
        <v>23.6</v>
      </c>
      <c r="O754" s="63"/>
      <c r="P754" s="63"/>
      <c r="Q754" s="62" t="n">
        <v>0.01</v>
      </c>
      <c r="R754" s="58" t="n">
        <v>8</v>
      </c>
      <c r="S754" s="62" t="n">
        <v>23.5</v>
      </c>
      <c r="T754" s="63"/>
      <c r="U754" s="63"/>
      <c r="V754" s="58" t="n">
        <v>0</v>
      </c>
      <c r="W754" s="58" t="n">
        <v>8</v>
      </c>
      <c r="X754" s="62" t="n">
        <v>23.5</v>
      </c>
      <c r="Y754" s="63"/>
      <c r="Z754" s="63"/>
      <c r="AA754" s="58" t="n">
        <v>0</v>
      </c>
      <c r="AB754" s="58" t="n">
        <v>7.98</v>
      </c>
      <c r="AC754" s="62" t="n">
        <v>23.5</v>
      </c>
      <c r="AD754" s="62" t="n">
        <v>53.3</v>
      </c>
      <c r="AE754" s="62" t="n">
        <f aca="false">AD754*0.7</f>
        <v>37.31</v>
      </c>
      <c r="AF754" s="62"/>
      <c r="AG754" s="58" t="n">
        <v>0</v>
      </c>
      <c r="AH754" s="62"/>
      <c r="AI754" s="58" t="n">
        <v>7.98</v>
      </c>
      <c r="AJ754" s="62" t="n">
        <v>23.5</v>
      </c>
      <c r="AK754" s="62" t="n">
        <v>53.3</v>
      </c>
      <c r="AL754" s="62" t="n">
        <f aca="false">AK754*0.7</f>
        <v>37.31</v>
      </c>
      <c r="AM754" s="62"/>
      <c r="AN754" s="58" t="n">
        <v>0</v>
      </c>
      <c r="AO754" s="58" t="n">
        <v>6.45</v>
      </c>
      <c r="AP754" s="62" t="n">
        <v>24</v>
      </c>
      <c r="AQ754" s="62" t="n">
        <v>587</v>
      </c>
      <c r="AR754" s="62" t="n">
        <f aca="false">0.55*AQ754</f>
        <v>322.85</v>
      </c>
      <c r="AS754" s="58" t="n">
        <v>0</v>
      </c>
      <c r="AT754" s="58" t="n">
        <v>8.14</v>
      </c>
      <c r="AU754" s="62" t="n">
        <v>24.1</v>
      </c>
      <c r="AV754" s="62" t="n">
        <v>710</v>
      </c>
      <c r="AW754" s="62" t="n">
        <f aca="false">0.55*AV754</f>
        <v>390.5</v>
      </c>
      <c r="AX754" s="62" t="n">
        <v>1</v>
      </c>
      <c r="AY754" s="58" t="n">
        <v>0</v>
      </c>
    </row>
    <row r="755" customFormat="false" ht="15" hidden="false" customHeight="false" outlineLevel="0" collapsed="false">
      <c r="A755" s="16" t="s">
        <v>197</v>
      </c>
      <c r="B755" s="2" t="s">
        <v>52</v>
      </c>
      <c r="C755" s="29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</row>
    <row r="756" customFormat="false" ht="15" hidden="false" customHeight="false" outlineLevel="0" collapsed="false">
      <c r="A756" s="16" t="s">
        <v>197</v>
      </c>
      <c r="B756" s="2" t="s">
        <v>57</v>
      </c>
      <c r="C756" s="29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</row>
    <row r="757" customFormat="false" ht="16.15" hidden="false" customHeight="false" outlineLevel="0" collapsed="false">
      <c r="A757" s="16" t="s">
        <v>198</v>
      </c>
      <c r="B757" s="2" t="s">
        <v>51</v>
      </c>
      <c r="C757" s="57" t="n">
        <v>7.98</v>
      </c>
      <c r="D757" s="62" t="n">
        <v>24.7</v>
      </c>
      <c r="E757" s="62" t="n">
        <v>53.3</v>
      </c>
      <c r="F757" s="62" t="n">
        <f aca="false">E757*0.7</f>
        <v>37.31</v>
      </c>
      <c r="G757" s="58" t="n">
        <v>0.01</v>
      </c>
      <c r="H757" s="58" t="n">
        <v>8</v>
      </c>
      <c r="I757" s="62" t="n">
        <v>23.7</v>
      </c>
      <c r="J757" s="63"/>
      <c r="K757" s="63"/>
      <c r="L757" s="62" t="n">
        <v>0.19</v>
      </c>
      <c r="M757" s="58" t="n">
        <v>8</v>
      </c>
      <c r="N757" s="62" t="n">
        <v>23.7</v>
      </c>
      <c r="O757" s="63"/>
      <c r="P757" s="63"/>
      <c r="Q757" s="62" t="n">
        <v>0.15</v>
      </c>
      <c r="R757" s="58" t="n">
        <v>8.01</v>
      </c>
      <c r="S757" s="62" t="n">
        <v>23.6</v>
      </c>
      <c r="T757" s="63"/>
      <c r="U757" s="63"/>
      <c r="V757" s="58" t="n">
        <v>0</v>
      </c>
      <c r="W757" s="58" t="n">
        <v>8.02</v>
      </c>
      <c r="X757" s="62" t="n">
        <v>23.5</v>
      </c>
      <c r="Y757" s="63"/>
      <c r="Z757" s="63"/>
      <c r="AA757" s="58" t="n">
        <v>0</v>
      </c>
      <c r="AB757" s="58" t="n">
        <v>7.99</v>
      </c>
      <c r="AC757" s="62" t="n">
        <v>23.4</v>
      </c>
      <c r="AD757" s="62" t="n">
        <v>53.2</v>
      </c>
      <c r="AE757" s="62" t="n">
        <f aca="false">AD757*0.7</f>
        <v>37.24</v>
      </c>
      <c r="AF757" s="62"/>
      <c r="AG757" s="58" t="n">
        <v>0</v>
      </c>
      <c r="AH757" s="62"/>
      <c r="AI757" s="58" t="n">
        <v>8</v>
      </c>
      <c r="AJ757" s="62" t="n">
        <v>23.5</v>
      </c>
      <c r="AK757" s="62" t="n">
        <v>53.2</v>
      </c>
      <c r="AL757" s="62" t="n">
        <f aca="false">AK757*0.7</f>
        <v>37.24</v>
      </c>
      <c r="AM757" s="62"/>
      <c r="AN757" s="58" t="n">
        <v>0</v>
      </c>
      <c r="AO757" s="58" t="n">
        <v>6.58</v>
      </c>
      <c r="AP757" s="62" t="n">
        <v>24.4</v>
      </c>
      <c r="AQ757" s="62" t="n">
        <v>529</v>
      </c>
      <c r="AR757" s="62" t="n">
        <f aca="false">0.55*AQ757</f>
        <v>290.95</v>
      </c>
      <c r="AS757" s="58" t="n">
        <v>0</v>
      </c>
      <c r="AT757" s="58" t="n">
        <v>8.15</v>
      </c>
      <c r="AU757" s="62" t="n">
        <v>24.3</v>
      </c>
      <c r="AV757" s="62" t="n">
        <v>670</v>
      </c>
      <c r="AW757" s="62" t="n">
        <f aca="false">0.55*AV757</f>
        <v>368.5</v>
      </c>
      <c r="AX757" s="62" t="n">
        <v>1</v>
      </c>
      <c r="AY757" s="58" t="n">
        <v>0</v>
      </c>
    </row>
    <row r="758" customFormat="false" ht="15" hidden="false" customHeight="false" outlineLevel="0" collapsed="false">
      <c r="A758" s="16" t="s">
        <v>198</v>
      </c>
      <c r="B758" s="2" t="s">
        <v>52</v>
      </c>
      <c r="C758" s="29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</row>
    <row r="759" customFormat="false" ht="15" hidden="false" customHeight="false" outlineLevel="0" collapsed="false">
      <c r="A759" s="16" t="s">
        <v>198</v>
      </c>
      <c r="B759" s="2" t="s">
        <v>57</v>
      </c>
      <c r="C759" s="29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</row>
    <row r="760" customFormat="false" ht="16.15" hidden="false" customHeight="false" outlineLevel="0" collapsed="false">
      <c r="A760" s="16" t="s">
        <v>199</v>
      </c>
      <c r="B760" s="2" t="s">
        <v>51</v>
      </c>
      <c r="C760" s="57" t="n">
        <v>8.05</v>
      </c>
      <c r="D760" s="62" t="n">
        <v>24.3</v>
      </c>
      <c r="E760" s="62" t="n">
        <v>53</v>
      </c>
      <c r="F760" s="62" t="n">
        <f aca="false">E760*0.7</f>
        <v>37.1</v>
      </c>
      <c r="G760" s="58" t="n">
        <v>2.63</v>
      </c>
      <c r="H760" s="58" t="n">
        <v>8.03</v>
      </c>
      <c r="I760" s="62" t="n">
        <v>23</v>
      </c>
      <c r="J760" s="63"/>
      <c r="K760" s="63"/>
      <c r="L760" s="62" t="n">
        <v>3.62</v>
      </c>
      <c r="M760" s="58" t="n">
        <v>8.06</v>
      </c>
      <c r="N760" s="62" t="n">
        <v>23.1</v>
      </c>
      <c r="O760" s="63"/>
      <c r="P760" s="63"/>
      <c r="Q760" s="62" t="n">
        <v>4.64</v>
      </c>
      <c r="R760" s="58" t="n">
        <v>8.07</v>
      </c>
      <c r="S760" s="62" t="n">
        <v>23</v>
      </c>
      <c r="T760" s="63"/>
      <c r="U760" s="63"/>
      <c r="V760" s="58" t="n">
        <v>0</v>
      </c>
      <c r="W760" s="58" t="n">
        <v>8.07</v>
      </c>
      <c r="X760" s="62" t="n">
        <v>22.9</v>
      </c>
      <c r="Y760" s="63"/>
      <c r="Z760" s="63"/>
      <c r="AA760" s="58" t="n">
        <v>0</v>
      </c>
      <c r="AB760" s="58" t="n">
        <v>7.99</v>
      </c>
      <c r="AC760" s="62" t="n">
        <v>23.1</v>
      </c>
      <c r="AD760" s="62" t="n">
        <v>53</v>
      </c>
      <c r="AE760" s="62" t="n">
        <f aca="false">AD760*0.7</f>
        <v>37.1</v>
      </c>
      <c r="AF760" s="62"/>
      <c r="AG760" s="58" t="n">
        <v>0</v>
      </c>
      <c r="AH760" s="62"/>
      <c r="AI760" s="58" t="n">
        <v>8</v>
      </c>
      <c r="AJ760" s="62" t="n">
        <v>23.1</v>
      </c>
      <c r="AK760" s="62" t="n">
        <v>53</v>
      </c>
      <c r="AL760" s="62" t="n">
        <f aca="false">AK760*0.7</f>
        <v>37.1</v>
      </c>
      <c r="AM760" s="62"/>
      <c r="AN760" s="58" t="n">
        <v>0</v>
      </c>
      <c r="AO760" s="58" t="n">
        <v>6.82</v>
      </c>
      <c r="AP760" s="62" t="n">
        <v>23.7</v>
      </c>
      <c r="AQ760" s="62" t="n">
        <v>729</v>
      </c>
      <c r="AR760" s="62" t="n">
        <f aca="false">0.55*AQ760</f>
        <v>400.95</v>
      </c>
      <c r="AS760" s="58" t="n">
        <v>0</v>
      </c>
      <c r="AT760" s="58" t="n">
        <v>8.13</v>
      </c>
      <c r="AU760" s="62" t="n">
        <v>24.2</v>
      </c>
      <c r="AV760" s="62" t="n">
        <v>671</v>
      </c>
      <c r="AW760" s="62" t="n">
        <f aca="false">0.55*AV760</f>
        <v>369.05</v>
      </c>
      <c r="AX760" s="62" t="n">
        <v>1</v>
      </c>
      <c r="AY760" s="58" t="n">
        <v>0</v>
      </c>
    </row>
    <row r="761" customFormat="false" ht="15" hidden="false" customHeight="false" outlineLevel="0" collapsed="false">
      <c r="A761" s="16" t="s">
        <v>199</v>
      </c>
      <c r="B761" s="2" t="s">
        <v>52</v>
      </c>
      <c r="C761" s="29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</row>
    <row r="762" customFormat="false" ht="15" hidden="false" customHeight="false" outlineLevel="0" collapsed="false">
      <c r="A762" s="16" t="s">
        <v>199</v>
      </c>
      <c r="B762" s="2" t="s">
        <v>57</v>
      </c>
      <c r="C762" s="29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</row>
    <row r="763" customFormat="false" ht="16.15" hidden="false" customHeight="false" outlineLevel="0" collapsed="false">
      <c r="A763" s="16" t="s">
        <v>200</v>
      </c>
      <c r="B763" s="2" t="s">
        <v>51</v>
      </c>
      <c r="C763" s="57" t="n">
        <v>8.05</v>
      </c>
      <c r="D763" s="62" t="n">
        <v>24</v>
      </c>
      <c r="E763" s="62" t="n">
        <v>53</v>
      </c>
      <c r="F763" s="62" t="n">
        <f aca="false">E763*0.7</f>
        <v>37.1</v>
      </c>
      <c r="G763" s="58" t="n">
        <v>0.12</v>
      </c>
      <c r="H763" s="58" t="n">
        <v>8.03</v>
      </c>
      <c r="I763" s="62" t="n">
        <v>22.6</v>
      </c>
      <c r="J763" s="63"/>
      <c r="K763" s="63"/>
      <c r="L763" s="62" t="n">
        <v>1.08</v>
      </c>
      <c r="M763" s="58" t="n">
        <v>8.02</v>
      </c>
      <c r="N763" s="62" t="n">
        <v>22.6</v>
      </c>
      <c r="O763" s="63"/>
      <c r="P763" s="63"/>
      <c r="Q763" s="62" t="n">
        <v>1.19</v>
      </c>
      <c r="R763" s="58" t="n">
        <v>8.01</v>
      </c>
      <c r="S763" s="62" t="n">
        <v>22.4</v>
      </c>
      <c r="T763" s="63"/>
      <c r="U763" s="63"/>
      <c r="V763" s="58" t="n">
        <v>0</v>
      </c>
      <c r="W763" s="58" t="n">
        <v>8.01</v>
      </c>
      <c r="X763" s="62" t="n">
        <v>22.4</v>
      </c>
      <c r="Y763" s="63"/>
      <c r="Z763" s="63"/>
      <c r="AA763" s="58" t="n">
        <v>0</v>
      </c>
      <c r="AB763" s="58" t="n">
        <v>7.98</v>
      </c>
      <c r="AC763" s="62" t="n">
        <v>22.4</v>
      </c>
      <c r="AD763" s="62" t="n">
        <v>53</v>
      </c>
      <c r="AE763" s="62" t="n">
        <f aca="false">AD763*0.7</f>
        <v>37.1</v>
      </c>
      <c r="AF763" s="62"/>
      <c r="AG763" s="58" t="n">
        <v>0</v>
      </c>
      <c r="AH763" s="62"/>
      <c r="AI763" s="58" t="n">
        <v>7.99</v>
      </c>
      <c r="AJ763" s="62" t="n">
        <v>22.4</v>
      </c>
      <c r="AK763" s="62" t="n">
        <v>53</v>
      </c>
      <c r="AL763" s="62" t="n">
        <f aca="false">AK763*0.7</f>
        <v>37.1</v>
      </c>
      <c r="AM763" s="62"/>
      <c r="AN763" s="58" t="n">
        <v>0</v>
      </c>
      <c r="AO763" s="58" t="n">
        <v>6.69</v>
      </c>
      <c r="AP763" s="62" t="n">
        <v>22.8</v>
      </c>
      <c r="AQ763" s="62" t="n">
        <v>384</v>
      </c>
      <c r="AR763" s="62" t="n">
        <f aca="false">0.55*AQ763</f>
        <v>211.2</v>
      </c>
      <c r="AS763" s="58" t="n">
        <v>0</v>
      </c>
      <c r="AT763" s="58" t="n">
        <v>8.17</v>
      </c>
      <c r="AU763" s="62" t="n">
        <v>23.4</v>
      </c>
      <c r="AV763" s="62" t="n">
        <v>641</v>
      </c>
      <c r="AW763" s="62" t="n">
        <f aca="false">0.55*AV763</f>
        <v>352.55</v>
      </c>
      <c r="AX763" s="62" t="n">
        <v>1</v>
      </c>
      <c r="AY763" s="58" t="n">
        <v>0</v>
      </c>
    </row>
    <row r="764" customFormat="false" ht="16.15" hidden="false" customHeight="false" outlineLevel="0" collapsed="false">
      <c r="A764" s="66" t="n">
        <v>45301</v>
      </c>
      <c r="B764" s="2" t="s">
        <v>201</v>
      </c>
      <c r="C764" s="57" t="n">
        <v>8.03</v>
      </c>
      <c r="D764" s="62" t="n">
        <v>24.6</v>
      </c>
      <c r="E764" s="62" t="n">
        <v>53</v>
      </c>
      <c r="F764" s="62" t="n">
        <f aca="false">E764*0.7</f>
        <v>37.1</v>
      </c>
      <c r="G764" s="62"/>
      <c r="H764" s="58" t="n">
        <v>8</v>
      </c>
      <c r="I764" s="62" t="n">
        <v>22.4</v>
      </c>
      <c r="J764" s="63"/>
      <c r="K764" s="63"/>
      <c r="L764" s="62" t="n">
        <v>0.45</v>
      </c>
      <c r="M764" s="58" t="n">
        <v>8.01</v>
      </c>
      <c r="N764" s="62" t="n">
        <v>22.4</v>
      </c>
      <c r="O764" s="63"/>
      <c r="P764" s="63"/>
      <c r="Q764" s="62" t="n">
        <v>0.3</v>
      </c>
      <c r="R764" s="58" t="n">
        <v>7.98</v>
      </c>
      <c r="S764" s="62" t="n">
        <v>22.2</v>
      </c>
      <c r="T764" s="63"/>
      <c r="U764" s="63"/>
      <c r="V764" s="58" t="n">
        <v>0</v>
      </c>
      <c r="W764" s="58" t="n">
        <v>7.98</v>
      </c>
      <c r="X764" s="62" t="n">
        <v>22.2</v>
      </c>
      <c r="Y764" s="63"/>
      <c r="Z764" s="63"/>
      <c r="AA764" s="58" t="n">
        <v>0</v>
      </c>
      <c r="AB764" s="58" t="n">
        <v>8.03</v>
      </c>
      <c r="AC764" s="62" t="n">
        <v>21.9</v>
      </c>
      <c r="AD764" s="62" t="n">
        <v>53</v>
      </c>
      <c r="AE764" s="62" t="n">
        <f aca="false">AD764*0.7</f>
        <v>37.1</v>
      </c>
      <c r="AF764" s="62"/>
      <c r="AG764" s="58" t="n">
        <v>0</v>
      </c>
      <c r="AH764" s="21"/>
      <c r="AI764" s="58" t="n">
        <v>8.04</v>
      </c>
      <c r="AJ764" s="62" t="n">
        <v>21.9</v>
      </c>
      <c r="AK764" s="62" t="n">
        <v>53</v>
      </c>
      <c r="AL764" s="62" t="n">
        <f aca="false">AK764*0.7</f>
        <v>37.1</v>
      </c>
      <c r="AM764" s="62"/>
      <c r="AN764" s="58" t="n">
        <v>0</v>
      </c>
      <c r="AO764" s="58" t="n">
        <v>6.78</v>
      </c>
      <c r="AP764" s="62" t="n">
        <v>22.4</v>
      </c>
      <c r="AQ764" s="62" t="n">
        <v>630</v>
      </c>
      <c r="AR764" s="62" t="n">
        <f aca="false">0.55*AQ764</f>
        <v>346.5</v>
      </c>
      <c r="AS764" s="58" t="n">
        <v>0</v>
      </c>
      <c r="AT764" s="58" t="n">
        <v>8.16</v>
      </c>
      <c r="AU764" s="62" t="n">
        <v>22.9</v>
      </c>
      <c r="AV764" s="62" t="n">
        <v>640</v>
      </c>
      <c r="AW764" s="62" t="n">
        <f aca="false">0.55*AV764</f>
        <v>352</v>
      </c>
      <c r="AX764" s="62" t="n">
        <v>1</v>
      </c>
      <c r="AY764" s="58" t="n">
        <v>0</v>
      </c>
    </row>
    <row r="765" customFormat="false" ht="16.15" hidden="false" customHeight="false" outlineLevel="0" collapsed="false">
      <c r="A765" s="66" t="n">
        <v>45332</v>
      </c>
      <c r="B765" s="2" t="s">
        <v>201</v>
      </c>
      <c r="C765" s="57" t="n">
        <v>8.02</v>
      </c>
      <c r="D765" s="62" t="n">
        <v>25.4</v>
      </c>
      <c r="E765" s="62" t="n">
        <v>53.3</v>
      </c>
      <c r="F765" s="62" t="n">
        <f aca="false">E765*0.7</f>
        <v>37.31</v>
      </c>
      <c r="G765" s="58" t="n">
        <v>0</v>
      </c>
      <c r="H765" s="58" t="n">
        <v>8.06</v>
      </c>
      <c r="I765" s="62" t="n">
        <v>23.1</v>
      </c>
      <c r="J765" s="63"/>
      <c r="K765" s="63"/>
      <c r="L765" s="62" t="n">
        <v>0.22</v>
      </c>
      <c r="M765" s="58" t="n">
        <v>8.07</v>
      </c>
      <c r="N765" s="62" t="n">
        <v>23.1</v>
      </c>
      <c r="O765" s="63"/>
      <c r="P765" s="63"/>
      <c r="Q765" s="62" t="n">
        <v>0.35</v>
      </c>
      <c r="R765" s="58" t="n">
        <v>8.05</v>
      </c>
      <c r="S765" s="62" t="n">
        <v>23</v>
      </c>
      <c r="T765" s="63"/>
      <c r="U765" s="63"/>
      <c r="V765" s="58" t="n">
        <v>0</v>
      </c>
      <c r="W765" s="58" t="n">
        <v>8.05</v>
      </c>
      <c r="X765" s="62" t="n">
        <v>23</v>
      </c>
      <c r="Y765" s="63"/>
      <c r="Z765" s="63"/>
      <c r="AA765" s="58" t="n">
        <v>0</v>
      </c>
      <c r="AB765" s="58" t="n">
        <v>7.99</v>
      </c>
      <c r="AC765" s="62" t="n">
        <v>23.1</v>
      </c>
      <c r="AD765" s="62" t="n">
        <v>53.3</v>
      </c>
      <c r="AE765" s="62" t="n">
        <f aca="false">AD765*0.7</f>
        <v>37.31</v>
      </c>
      <c r="AF765" s="62"/>
      <c r="AG765" s="58" t="n">
        <v>0</v>
      </c>
      <c r="AH765" s="21"/>
      <c r="AI765" s="58" t="n">
        <v>8</v>
      </c>
      <c r="AJ765" s="62" t="n">
        <v>23.1</v>
      </c>
      <c r="AK765" s="62" t="n">
        <v>53.3</v>
      </c>
      <c r="AL765" s="62" t="n">
        <f aca="false">AK765*0.7</f>
        <v>37.31</v>
      </c>
      <c r="AM765" s="62"/>
      <c r="AN765" s="58" t="n">
        <v>0</v>
      </c>
      <c r="AO765" s="58" t="n">
        <v>6.77</v>
      </c>
      <c r="AP765" s="62" t="n">
        <v>23.3</v>
      </c>
      <c r="AQ765" s="62" t="n">
        <v>619</v>
      </c>
      <c r="AR765" s="62" t="n">
        <f aca="false">0.55*AQ765</f>
        <v>340.45</v>
      </c>
      <c r="AS765" s="58" t="n">
        <v>0</v>
      </c>
      <c r="AT765" s="58" t="n">
        <v>8.23</v>
      </c>
      <c r="AU765" s="62" t="n">
        <v>23.1</v>
      </c>
      <c r="AV765" s="62" t="n">
        <v>646</v>
      </c>
      <c r="AW765" s="62" t="n">
        <f aca="false">0.55*AV765</f>
        <v>355.3</v>
      </c>
      <c r="AX765" s="62" t="n">
        <v>1</v>
      </c>
      <c r="AY765" s="58" t="n">
        <v>0</v>
      </c>
    </row>
    <row r="766" customFormat="false" ht="16.15" hidden="false" customHeight="false" outlineLevel="0" collapsed="false">
      <c r="A766" s="66" t="n">
        <v>45361</v>
      </c>
      <c r="B766" s="2" t="s">
        <v>201</v>
      </c>
      <c r="C766" s="57" t="n">
        <v>8.05</v>
      </c>
      <c r="D766" s="62" t="n">
        <v>23.4</v>
      </c>
      <c r="E766" s="62" t="n">
        <v>53.1</v>
      </c>
      <c r="F766" s="62" t="n">
        <f aca="false">E766*0.7</f>
        <v>37.17</v>
      </c>
      <c r="G766" s="58" t="n">
        <v>0</v>
      </c>
      <c r="H766" s="58" t="n">
        <v>8.02</v>
      </c>
      <c r="I766" s="62" t="n">
        <v>23.1</v>
      </c>
      <c r="J766" s="63"/>
      <c r="K766" s="63"/>
      <c r="L766" s="62" t="n">
        <v>0.14</v>
      </c>
      <c r="M766" s="58" t="n">
        <v>8.02</v>
      </c>
      <c r="N766" s="62" t="n">
        <v>23.1</v>
      </c>
      <c r="O766" s="63"/>
      <c r="P766" s="63"/>
      <c r="Q766" s="62" t="n">
        <v>0.04</v>
      </c>
      <c r="R766" s="58" t="n">
        <v>8</v>
      </c>
      <c r="S766" s="62" t="n">
        <v>23</v>
      </c>
      <c r="T766" s="63"/>
      <c r="U766" s="63"/>
      <c r="V766" s="58" t="n">
        <v>0</v>
      </c>
      <c r="W766" s="58" t="n">
        <v>8.01</v>
      </c>
      <c r="X766" s="62" t="n">
        <v>23</v>
      </c>
      <c r="Y766" s="63"/>
      <c r="Z766" s="63"/>
      <c r="AA766" s="58" t="n">
        <v>0</v>
      </c>
      <c r="AB766" s="58" t="n">
        <v>8.04</v>
      </c>
      <c r="AC766" s="62" t="n">
        <v>22.9</v>
      </c>
      <c r="AD766" s="62" t="n">
        <v>53.1</v>
      </c>
      <c r="AE766" s="62" t="n">
        <f aca="false">AD766*0.7</f>
        <v>37.17</v>
      </c>
      <c r="AF766" s="62"/>
      <c r="AG766" s="58" t="n">
        <v>0</v>
      </c>
      <c r="AH766" s="62"/>
      <c r="AI766" s="58" t="n">
        <v>8.04</v>
      </c>
      <c r="AJ766" s="62" t="n">
        <v>22.9</v>
      </c>
      <c r="AK766" s="62" t="n">
        <v>53.1</v>
      </c>
      <c r="AL766" s="62" t="n">
        <f aca="false">AK766*0.7</f>
        <v>37.17</v>
      </c>
      <c r="AM766" s="62"/>
      <c r="AN766" s="58" t="n">
        <v>0</v>
      </c>
      <c r="AO766" s="58" t="n">
        <v>6.72</v>
      </c>
      <c r="AP766" s="62" t="n">
        <v>23.2</v>
      </c>
      <c r="AQ766" s="62" t="n">
        <v>578</v>
      </c>
      <c r="AR766" s="62" t="n">
        <f aca="false">0.55*AQ766</f>
        <v>317.9</v>
      </c>
      <c r="AS766" s="58" t="n">
        <v>0</v>
      </c>
      <c r="AT766" s="58" t="n">
        <v>8.19</v>
      </c>
      <c r="AU766" s="62" t="n">
        <v>23.8</v>
      </c>
      <c r="AV766" s="62" t="n">
        <v>668</v>
      </c>
      <c r="AW766" s="62" t="n">
        <f aca="false">0.55*AV766</f>
        <v>367.4</v>
      </c>
      <c r="AX766" s="62" t="n">
        <v>1</v>
      </c>
      <c r="AY766" s="58" t="n">
        <v>0</v>
      </c>
    </row>
    <row r="767" customFormat="false" ht="16.15" hidden="false" customHeight="false" outlineLevel="0" collapsed="false">
      <c r="A767" s="66" t="n">
        <v>45392</v>
      </c>
      <c r="B767" s="2" t="s">
        <v>201</v>
      </c>
      <c r="C767" s="57"/>
      <c r="D767" s="62"/>
      <c r="E767" s="62"/>
      <c r="F767" s="62"/>
      <c r="G767" s="58"/>
      <c r="H767" s="58"/>
      <c r="I767" s="62"/>
      <c r="J767" s="63"/>
      <c r="K767" s="63"/>
      <c r="L767" s="62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58" t="n">
        <v>8.2</v>
      </c>
      <c r="AU767" s="62" t="n">
        <v>23.5</v>
      </c>
      <c r="AV767" s="62" t="n">
        <v>664</v>
      </c>
      <c r="AW767" s="62" t="n">
        <f aca="false">0.55*AV767</f>
        <v>365.2</v>
      </c>
      <c r="AX767" s="62" t="n">
        <v>1</v>
      </c>
      <c r="AY767" s="58" t="n">
        <v>0</v>
      </c>
    </row>
    <row r="768" customFormat="false" ht="16.15" hidden="false" customHeight="false" outlineLevel="0" collapsed="false">
      <c r="A768" s="66" t="n">
        <v>45422</v>
      </c>
      <c r="B768" s="2" t="s">
        <v>201</v>
      </c>
      <c r="C768" s="57" t="n">
        <v>8.1</v>
      </c>
      <c r="D768" s="62" t="n">
        <v>23.8</v>
      </c>
      <c r="E768" s="62" t="n">
        <v>54</v>
      </c>
      <c r="F768" s="62" t="n">
        <f aca="false">E768*0.7</f>
        <v>37.8</v>
      </c>
      <c r="G768" s="58" t="n">
        <v>0.15</v>
      </c>
      <c r="H768" s="58" t="n">
        <v>8.08</v>
      </c>
      <c r="I768" s="62" t="n">
        <v>23</v>
      </c>
      <c r="J768" s="63"/>
      <c r="K768" s="63"/>
      <c r="L768" s="62" t="n">
        <v>0.14</v>
      </c>
      <c r="M768" s="58" t="n">
        <v>8.08</v>
      </c>
      <c r="N768" s="62" t="n">
        <v>23</v>
      </c>
      <c r="O768" s="63"/>
      <c r="P768" s="63"/>
      <c r="Q768" s="62" t="n">
        <v>0.17</v>
      </c>
      <c r="R768" s="58" t="n">
        <v>8.07</v>
      </c>
      <c r="S768" s="62" t="n">
        <v>23.9</v>
      </c>
      <c r="T768" s="63"/>
      <c r="U768" s="63"/>
      <c r="V768" s="58" t="n">
        <v>0</v>
      </c>
      <c r="W768" s="58" t="n">
        <v>8.07</v>
      </c>
      <c r="X768" s="62" t="n">
        <v>23.9</v>
      </c>
      <c r="Y768" s="63"/>
      <c r="Z768" s="63"/>
      <c r="AA768" s="58" t="n">
        <v>0</v>
      </c>
      <c r="AB768" s="58" t="n">
        <v>8.05</v>
      </c>
      <c r="AC768" s="62" t="n">
        <v>23.5</v>
      </c>
      <c r="AD768" s="62" t="n">
        <v>54</v>
      </c>
      <c r="AE768" s="62" t="n">
        <f aca="false">AD768*0.7</f>
        <v>37.8</v>
      </c>
      <c r="AF768" s="62"/>
      <c r="AG768" s="58" t="n">
        <v>0</v>
      </c>
      <c r="AH768" s="62"/>
      <c r="AI768" s="58" t="n">
        <v>8.05</v>
      </c>
      <c r="AJ768" s="62" t="n">
        <v>23.5</v>
      </c>
      <c r="AK768" s="62" t="n">
        <v>54</v>
      </c>
      <c r="AL768" s="62" t="n">
        <f aca="false">AK768*0.7</f>
        <v>37.8</v>
      </c>
      <c r="AM768" s="62"/>
      <c r="AN768" s="58" t="n">
        <v>0</v>
      </c>
      <c r="AO768" s="58" t="n">
        <v>6.67</v>
      </c>
      <c r="AP768" s="62" t="n">
        <v>23.4</v>
      </c>
      <c r="AQ768" s="62" t="n">
        <v>437</v>
      </c>
      <c r="AR768" s="62" t="n">
        <f aca="false">0.55*AQ768</f>
        <v>240.35</v>
      </c>
      <c r="AS768" s="58" t="n">
        <v>0</v>
      </c>
      <c r="AT768" s="58" t="n">
        <v>8.14</v>
      </c>
      <c r="AU768" s="62" t="n">
        <v>23.1</v>
      </c>
      <c r="AV768" s="62" t="n">
        <v>632</v>
      </c>
      <c r="AW768" s="62" t="n">
        <f aca="false">0.55*AV768</f>
        <v>347.6</v>
      </c>
      <c r="AX768" s="62" t="n">
        <v>1</v>
      </c>
      <c r="AY768" s="58" t="n">
        <v>0</v>
      </c>
    </row>
    <row r="769" customFormat="false" ht="16.15" hidden="false" customHeight="false" outlineLevel="0" collapsed="false">
      <c r="A769" s="66" t="n">
        <v>45453</v>
      </c>
      <c r="B769" s="2" t="s">
        <v>201</v>
      </c>
      <c r="C769" s="57" t="n">
        <v>8.05</v>
      </c>
      <c r="D769" s="62" t="n">
        <v>24.7</v>
      </c>
      <c r="E769" s="62" t="n">
        <v>53.1</v>
      </c>
      <c r="F769" s="62" t="n">
        <f aca="false">E769*0.7</f>
        <v>37.17</v>
      </c>
      <c r="G769" s="58" t="n">
        <v>0</v>
      </c>
      <c r="H769" s="58" t="n">
        <v>8.03</v>
      </c>
      <c r="I769" s="62" t="n">
        <v>23.1</v>
      </c>
      <c r="J769" s="63"/>
      <c r="K769" s="63"/>
      <c r="L769" s="62" t="n">
        <v>1.02</v>
      </c>
      <c r="M769" s="58" t="n">
        <v>8.04</v>
      </c>
      <c r="N769" s="62" t="n">
        <v>23.1</v>
      </c>
      <c r="O769" s="63"/>
      <c r="P769" s="63"/>
      <c r="Q769" s="62" t="n">
        <v>0.91</v>
      </c>
      <c r="R769" s="58" t="n">
        <v>8.07</v>
      </c>
      <c r="S769" s="62" t="n">
        <v>23</v>
      </c>
      <c r="T769" s="63"/>
      <c r="U769" s="63"/>
      <c r="V769" s="58" t="n">
        <v>0</v>
      </c>
      <c r="W769" s="58" t="n">
        <v>8.07</v>
      </c>
      <c r="X769" s="62" t="n">
        <v>23</v>
      </c>
      <c r="Y769" s="63"/>
      <c r="Z769" s="63"/>
      <c r="AA769" s="58" t="n">
        <v>0</v>
      </c>
      <c r="AB769" s="58" t="n">
        <v>8</v>
      </c>
      <c r="AC769" s="62" t="n">
        <v>22.9</v>
      </c>
      <c r="AD769" s="62" t="n">
        <v>53</v>
      </c>
      <c r="AE769" s="62" t="n">
        <f aca="false">AD769*0.7</f>
        <v>37.1</v>
      </c>
      <c r="AF769" s="62"/>
      <c r="AG769" s="58" t="n">
        <v>0</v>
      </c>
      <c r="AH769" s="62"/>
      <c r="AI769" s="58" t="n">
        <v>8.01</v>
      </c>
      <c r="AJ769" s="62" t="n">
        <v>23</v>
      </c>
      <c r="AK769" s="62" t="n">
        <v>53</v>
      </c>
      <c r="AL769" s="62" t="n">
        <f aca="false">AK769*0.7</f>
        <v>37.1</v>
      </c>
      <c r="AM769" s="62"/>
      <c r="AN769" s="58" t="n">
        <v>0</v>
      </c>
      <c r="AO769" s="58" t="n">
        <v>6.71</v>
      </c>
      <c r="AP769" s="62" t="n">
        <v>23.5</v>
      </c>
      <c r="AQ769" s="62" t="n">
        <v>675</v>
      </c>
      <c r="AR769" s="62" t="n">
        <f aca="false">0.55*AQ769</f>
        <v>371.25</v>
      </c>
      <c r="AS769" s="58" t="n">
        <v>0</v>
      </c>
      <c r="AT769" s="58" t="n">
        <v>8.14</v>
      </c>
      <c r="AU769" s="62" t="n">
        <v>23.9</v>
      </c>
      <c r="AV769" s="62" t="n">
        <v>710</v>
      </c>
      <c r="AW769" s="62" t="n">
        <f aca="false">0.55*AV769</f>
        <v>390.5</v>
      </c>
      <c r="AX769" s="62" t="n">
        <v>1</v>
      </c>
      <c r="AY769" s="58" t="n">
        <v>0</v>
      </c>
    </row>
    <row r="770" customFormat="false" ht="16.15" hidden="false" customHeight="false" outlineLevel="0" collapsed="false">
      <c r="A770" s="66" t="n">
        <v>45483</v>
      </c>
      <c r="B770" s="2" t="s">
        <v>201</v>
      </c>
      <c r="C770" s="57" t="n">
        <v>8.03</v>
      </c>
      <c r="D770" s="62" t="n">
        <v>25.2</v>
      </c>
      <c r="E770" s="62" t="n">
        <v>53.2</v>
      </c>
      <c r="F770" s="62" t="n">
        <f aca="false">E770*0.7</f>
        <v>37.24</v>
      </c>
      <c r="G770" s="58" t="n">
        <v>0.22</v>
      </c>
      <c r="H770" s="58" t="n">
        <v>8.08</v>
      </c>
      <c r="I770" s="62" t="n">
        <v>23.5</v>
      </c>
      <c r="J770" s="63"/>
      <c r="K770" s="63"/>
      <c r="L770" s="62" t="n">
        <v>0.45</v>
      </c>
      <c r="M770" s="58" t="n">
        <v>8.07</v>
      </c>
      <c r="N770" s="62" t="n">
        <v>23.5</v>
      </c>
      <c r="O770" s="63"/>
      <c r="P770" s="63"/>
      <c r="Q770" s="62" t="n">
        <v>0.23</v>
      </c>
      <c r="R770" s="58" t="n">
        <v>8.07</v>
      </c>
      <c r="S770" s="62" t="n">
        <v>23.3</v>
      </c>
      <c r="T770" s="63"/>
      <c r="U770" s="63"/>
      <c r="V770" s="58" t="n">
        <v>0</v>
      </c>
      <c r="W770" s="58" t="n">
        <v>8.07</v>
      </c>
      <c r="X770" s="62" t="n">
        <v>23.3</v>
      </c>
      <c r="Y770" s="63"/>
      <c r="Z770" s="63"/>
      <c r="AA770" s="58" t="n">
        <v>0</v>
      </c>
      <c r="AB770" s="58" t="n">
        <v>8.04</v>
      </c>
      <c r="AC770" s="62" t="n">
        <v>25</v>
      </c>
      <c r="AD770" s="62" t="n">
        <v>53.1</v>
      </c>
      <c r="AE770" s="62" t="n">
        <f aca="false">AD770*0.7</f>
        <v>37.17</v>
      </c>
      <c r="AF770" s="62"/>
      <c r="AG770" s="58" t="n">
        <v>0</v>
      </c>
      <c r="AH770" s="62"/>
      <c r="AI770" s="58" t="n">
        <v>8.05</v>
      </c>
      <c r="AJ770" s="62" t="n">
        <v>23</v>
      </c>
      <c r="AK770" s="62" t="n">
        <v>53.1</v>
      </c>
      <c r="AL770" s="62" t="n">
        <f aca="false">AK770*0.7</f>
        <v>37.17</v>
      </c>
      <c r="AM770" s="62"/>
      <c r="AN770" s="58" t="n">
        <v>0</v>
      </c>
      <c r="AO770" s="58" t="n">
        <v>6.72</v>
      </c>
      <c r="AP770" s="62" t="n">
        <v>23.5</v>
      </c>
      <c r="AQ770" s="62" t="n">
        <v>672</v>
      </c>
      <c r="AR770" s="62" t="n">
        <f aca="false">0.55*AQ770</f>
        <v>369.6</v>
      </c>
      <c r="AS770" s="58" t="n">
        <v>0</v>
      </c>
      <c r="AT770" s="58" t="n">
        <v>8.29</v>
      </c>
      <c r="AU770" s="62" t="n">
        <v>24.2</v>
      </c>
      <c r="AV770" s="62" t="n">
        <v>724</v>
      </c>
      <c r="AW770" s="62" t="n">
        <f aca="false">0.55*AV770</f>
        <v>398.2</v>
      </c>
      <c r="AX770" s="62" t="n">
        <v>1</v>
      </c>
      <c r="AY770" s="58" t="n">
        <v>0</v>
      </c>
    </row>
    <row r="771" customFormat="false" ht="16.15" hidden="false" customHeight="false" outlineLevel="0" collapsed="false">
      <c r="A771" s="66" t="n">
        <v>45514</v>
      </c>
      <c r="B771" s="2" t="s">
        <v>201</v>
      </c>
      <c r="C771" s="57" t="n">
        <v>8.05</v>
      </c>
      <c r="D771" s="62" t="n">
        <v>24.4</v>
      </c>
      <c r="E771" s="62" t="n">
        <v>53.1</v>
      </c>
      <c r="F771" s="62" t="n">
        <f aca="false">E771*0.7</f>
        <v>37.17</v>
      </c>
      <c r="G771" s="58" t="n">
        <v>0.21</v>
      </c>
      <c r="H771" s="58" t="n">
        <v>8.06</v>
      </c>
      <c r="I771" s="62" t="n">
        <v>23</v>
      </c>
      <c r="J771" s="63"/>
      <c r="K771" s="63"/>
      <c r="L771" s="62" t="n">
        <v>0.6</v>
      </c>
      <c r="M771" s="58" t="n">
        <v>8.06</v>
      </c>
      <c r="N771" s="62" t="n">
        <v>23</v>
      </c>
      <c r="O771" s="63"/>
      <c r="P771" s="63"/>
      <c r="Q771" s="62" t="n">
        <v>0.64</v>
      </c>
      <c r="R771" s="58" t="n">
        <v>8.05</v>
      </c>
      <c r="S771" s="62" t="n">
        <v>22.9</v>
      </c>
      <c r="T771" s="63"/>
      <c r="U771" s="63"/>
      <c r="V771" s="58" t="n">
        <v>0</v>
      </c>
      <c r="W771" s="58" t="n">
        <v>8.05</v>
      </c>
      <c r="X771" s="62" t="n">
        <v>22.9</v>
      </c>
      <c r="Y771" s="63"/>
      <c r="Z771" s="63"/>
      <c r="AA771" s="58" t="n">
        <v>0</v>
      </c>
      <c r="AB771" s="58" t="n">
        <v>8.03</v>
      </c>
      <c r="AC771" s="62" t="n">
        <v>22.9</v>
      </c>
      <c r="AD771" s="62" t="n">
        <v>53</v>
      </c>
      <c r="AE771" s="62" t="n">
        <f aca="false">AD771*0.7</f>
        <v>37.1</v>
      </c>
      <c r="AF771" s="62"/>
      <c r="AG771" s="58" t="n">
        <v>0</v>
      </c>
      <c r="AH771" s="62"/>
      <c r="AI771" s="58" t="n">
        <v>8.03</v>
      </c>
      <c r="AJ771" s="62" t="n">
        <v>22.9</v>
      </c>
      <c r="AK771" s="62" t="n">
        <v>53</v>
      </c>
      <c r="AL771" s="62" t="n">
        <f aca="false">AK771*0.7</f>
        <v>37.1</v>
      </c>
      <c r="AM771" s="62"/>
      <c r="AN771" s="58" t="n">
        <v>0</v>
      </c>
      <c r="AO771" s="58" t="n">
        <v>6.74</v>
      </c>
      <c r="AP771" s="62" t="n">
        <v>23.6</v>
      </c>
      <c r="AQ771" s="62" t="n">
        <v>658</v>
      </c>
      <c r="AR771" s="62" t="n">
        <f aca="false">0.55*AQ771</f>
        <v>361.9</v>
      </c>
      <c r="AS771" s="58" t="n">
        <v>0</v>
      </c>
      <c r="AT771" s="58" t="n">
        <v>8.13</v>
      </c>
      <c r="AU771" s="62" t="n">
        <v>23.3</v>
      </c>
      <c r="AV771" s="62" t="n">
        <v>695</v>
      </c>
      <c r="AW771" s="62" t="n">
        <f aca="false">0.55*AV771</f>
        <v>382.25</v>
      </c>
      <c r="AX771" s="62" t="n">
        <v>1</v>
      </c>
      <c r="AY771" s="58" t="n">
        <v>0</v>
      </c>
    </row>
    <row r="772" customFormat="false" ht="16.15" hidden="false" customHeight="false" outlineLevel="0" collapsed="false">
      <c r="A772" s="66" t="n">
        <v>45545</v>
      </c>
      <c r="B772" s="2" t="s">
        <v>201</v>
      </c>
      <c r="C772" s="57" t="n">
        <v>8.03</v>
      </c>
      <c r="D772" s="62" t="n">
        <v>25.3</v>
      </c>
      <c r="E772" s="62" t="n">
        <v>53.2</v>
      </c>
      <c r="F772" s="62" t="n">
        <f aca="false">E772*0.7</f>
        <v>37.24</v>
      </c>
      <c r="G772" s="58" t="n">
        <v>0.01</v>
      </c>
      <c r="H772" s="58" t="n">
        <v>8</v>
      </c>
      <c r="I772" s="62" t="n">
        <v>23.6</v>
      </c>
      <c r="J772" s="63"/>
      <c r="K772" s="63"/>
      <c r="L772" s="62" t="n">
        <v>0.95</v>
      </c>
      <c r="M772" s="58" t="n">
        <v>8.01</v>
      </c>
      <c r="N772" s="62" t="n">
        <v>23.6</v>
      </c>
      <c r="O772" s="63"/>
      <c r="P772" s="63"/>
      <c r="Q772" s="62" t="n">
        <v>1.04</v>
      </c>
      <c r="R772" s="58" t="n">
        <v>8</v>
      </c>
      <c r="S772" s="62" t="n">
        <v>23.5</v>
      </c>
      <c r="T772" s="63"/>
      <c r="U772" s="63"/>
      <c r="V772" s="58" t="n">
        <v>0</v>
      </c>
      <c r="W772" s="58" t="n">
        <v>8</v>
      </c>
      <c r="X772" s="62" t="n">
        <v>23.5</v>
      </c>
      <c r="Y772" s="63"/>
      <c r="Z772" s="63"/>
      <c r="AA772" s="58" t="n">
        <v>0</v>
      </c>
      <c r="AB772" s="58" t="n">
        <v>7.99</v>
      </c>
      <c r="AC772" s="62" t="n">
        <v>23.2</v>
      </c>
      <c r="AD772" s="62" t="n">
        <v>53</v>
      </c>
      <c r="AE772" s="62" t="n">
        <f aca="false">AD772*0.7</f>
        <v>37.1</v>
      </c>
      <c r="AF772" s="62"/>
      <c r="AG772" s="58" t="n">
        <v>0</v>
      </c>
      <c r="AH772" s="62"/>
      <c r="AI772" s="58" t="n">
        <v>7.99</v>
      </c>
      <c r="AJ772" s="62" t="n">
        <v>23.2</v>
      </c>
      <c r="AK772" s="62" t="n">
        <v>53</v>
      </c>
      <c r="AL772" s="62" t="n">
        <f aca="false">AK772*0.7</f>
        <v>37.1</v>
      </c>
      <c r="AM772" s="62"/>
      <c r="AN772" s="58" t="n">
        <v>0</v>
      </c>
      <c r="AO772" s="58" t="n">
        <v>6.75</v>
      </c>
      <c r="AP772" s="62" t="n">
        <v>23.8</v>
      </c>
      <c r="AQ772" s="62" t="n">
        <v>413</v>
      </c>
      <c r="AR772" s="67" t="n">
        <f aca="false">0.55*AQ772</f>
        <v>227.15</v>
      </c>
      <c r="AS772" s="58" t="n">
        <v>0</v>
      </c>
      <c r="AT772" s="58" t="n">
        <v>8.01</v>
      </c>
      <c r="AU772" s="62" t="n">
        <v>24.5</v>
      </c>
      <c r="AV772" s="62" t="n">
        <v>672</v>
      </c>
      <c r="AW772" s="62" t="n">
        <f aca="false">0.55*AV772</f>
        <v>369.6</v>
      </c>
      <c r="AX772" s="62" t="n">
        <v>1</v>
      </c>
      <c r="AY772" s="58" t="n">
        <v>0</v>
      </c>
    </row>
    <row r="773" customFormat="false" ht="15" hidden="false" customHeight="false" outlineLevel="0" collapsed="false">
      <c r="A773" s="66" t="n">
        <v>45575</v>
      </c>
      <c r="B773" s="2" t="s">
        <v>201</v>
      </c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</row>
    <row r="774" customFormat="false" ht="15" hidden="false" customHeight="false" outlineLevel="0" collapsed="false">
      <c r="A774" s="66" t="n">
        <v>45606</v>
      </c>
      <c r="B774" s="2" t="s">
        <v>201</v>
      </c>
      <c r="C774" s="29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</row>
    <row r="775" customFormat="false" ht="16.15" hidden="false" customHeight="false" outlineLevel="0" collapsed="false">
      <c r="A775" s="66" t="n">
        <v>45636</v>
      </c>
      <c r="B775" s="2" t="s">
        <v>201</v>
      </c>
      <c r="C775" s="57" t="n">
        <v>8.06</v>
      </c>
      <c r="D775" s="62" t="n">
        <v>25.1</v>
      </c>
      <c r="E775" s="62" t="n">
        <v>53.6</v>
      </c>
      <c r="F775" s="62" t="n">
        <f aca="false">E775*0.7</f>
        <v>37.52</v>
      </c>
      <c r="G775" s="58" t="n">
        <v>0.16</v>
      </c>
      <c r="H775" s="58" t="n">
        <v>8.05</v>
      </c>
      <c r="I775" s="62" t="n">
        <v>24.9</v>
      </c>
      <c r="J775" s="63"/>
      <c r="K775" s="63"/>
      <c r="L775" s="62" t="n">
        <v>0.88</v>
      </c>
      <c r="M775" s="58" t="n">
        <v>8.05</v>
      </c>
      <c r="N775" s="62" t="n">
        <v>24.9</v>
      </c>
      <c r="O775" s="63"/>
      <c r="P775" s="63"/>
      <c r="Q775" s="62" t="n">
        <v>0.73</v>
      </c>
      <c r="R775" s="58" t="n">
        <v>8.04</v>
      </c>
      <c r="S775" s="62" t="n">
        <v>24.8</v>
      </c>
      <c r="T775" s="63"/>
      <c r="U775" s="63"/>
      <c r="V775" s="58" t="n">
        <v>0</v>
      </c>
      <c r="W775" s="58" t="n">
        <v>8.04</v>
      </c>
      <c r="X775" s="62" t="n">
        <v>24.8</v>
      </c>
      <c r="Y775" s="63"/>
      <c r="Z775" s="63"/>
      <c r="AA775" s="58" t="n">
        <v>0</v>
      </c>
      <c r="AB775" s="58" t="n">
        <v>8</v>
      </c>
      <c r="AC775" s="62" t="n">
        <v>24.4</v>
      </c>
      <c r="AD775" s="62" t="n">
        <v>53.5</v>
      </c>
      <c r="AE775" s="62" t="n">
        <f aca="false">AD775*0.7</f>
        <v>37.45</v>
      </c>
      <c r="AF775" s="62"/>
      <c r="AG775" s="58" t="n">
        <v>0</v>
      </c>
      <c r="AH775" s="62"/>
      <c r="AI775" s="58" t="n">
        <v>8</v>
      </c>
      <c r="AJ775" s="62" t="n">
        <v>24.4</v>
      </c>
      <c r="AK775" s="62" t="n">
        <v>53.5</v>
      </c>
      <c r="AL775" s="62" t="n">
        <f aca="false">AK775*0.7</f>
        <v>37.45</v>
      </c>
      <c r="AM775" s="62"/>
      <c r="AN775" s="58" t="n">
        <v>0</v>
      </c>
      <c r="AO775" s="58" t="n">
        <v>6.72</v>
      </c>
      <c r="AP775" s="62" t="n">
        <v>24.1</v>
      </c>
      <c r="AQ775" s="62" t="n">
        <v>362</v>
      </c>
      <c r="AR775" s="67" t="n">
        <f aca="false">0.55*AQ775</f>
        <v>199.1</v>
      </c>
      <c r="AS775" s="58" t="n">
        <v>0</v>
      </c>
      <c r="AT775" s="58" t="n">
        <v>7.96</v>
      </c>
      <c r="AU775" s="62" t="n">
        <v>24.3</v>
      </c>
      <c r="AV775" s="62" t="n">
        <v>670</v>
      </c>
      <c r="AW775" s="62" t="n">
        <f aca="false">0.55*AV775</f>
        <v>368.5</v>
      </c>
      <c r="AX775" s="62" t="n">
        <v>0.9</v>
      </c>
      <c r="AY775" s="58" t="n">
        <v>0</v>
      </c>
    </row>
    <row r="776" customFormat="false" ht="16.15" hidden="false" customHeight="false" outlineLevel="0" collapsed="false">
      <c r="A776" s="68" t="s">
        <v>202</v>
      </c>
      <c r="B776" s="2" t="s">
        <v>201</v>
      </c>
      <c r="C776" s="57" t="n">
        <v>8.11</v>
      </c>
      <c r="D776" s="62" t="n">
        <v>25.7</v>
      </c>
      <c r="E776" s="62" t="n">
        <v>53.4</v>
      </c>
      <c r="F776" s="62" t="n">
        <f aca="false">E776*0.7</f>
        <v>37.38</v>
      </c>
      <c r="G776" s="58" t="n">
        <v>0.01</v>
      </c>
      <c r="H776" s="58" t="n">
        <v>8.12</v>
      </c>
      <c r="I776" s="62" t="n">
        <v>23.8</v>
      </c>
      <c r="J776" s="63"/>
      <c r="K776" s="63"/>
      <c r="L776" s="62" t="n">
        <v>0.76</v>
      </c>
      <c r="M776" s="58" t="n">
        <v>8.1</v>
      </c>
      <c r="N776" s="62" t="n">
        <v>23.6</v>
      </c>
      <c r="O776" s="63"/>
      <c r="P776" s="63"/>
      <c r="Q776" s="62" t="n">
        <v>0.22</v>
      </c>
      <c r="R776" s="58" t="n">
        <v>8.1</v>
      </c>
      <c r="S776" s="62" t="n">
        <v>23.6</v>
      </c>
      <c r="T776" s="63"/>
      <c r="U776" s="63"/>
      <c r="V776" s="58" t="n">
        <v>0</v>
      </c>
      <c r="W776" s="58" t="n">
        <v>8.1</v>
      </c>
      <c r="X776" s="62" t="n">
        <v>23.6</v>
      </c>
      <c r="Y776" s="63"/>
      <c r="Z776" s="63"/>
      <c r="AA776" s="58" t="n">
        <v>0</v>
      </c>
      <c r="AB776" s="58" t="n">
        <v>8.06</v>
      </c>
      <c r="AC776" s="62" t="n">
        <v>23.5</v>
      </c>
      <c r="AD776" s="62" t="n">
        <v>53.4</v>
      </c>
      <c r="AE776" s="62" t="n">
        <f aca="false">AD776*0.7</f>
        <v>37.38</v>
      </c>
      <c r="AF776" s="62"/>
      <c r="AG776" s="58" t="n">
        <v>0</v>
      </c>
      <c r="AH776" s="62"/>
      <c r="AI776" s="58" t="n">
        <v>8.09</v>
      </c>
      <c r="AJ776" s="62" t="n">
        <v>23.5</v>
      </c>
      <c r="AK776" s="62" t="n">
        <v>53.3</v>
      </c>
      <c r="AL776" s="62" t="n">
        <f aca="false">AK776*0.7</f>
        <v>37.31</v>
      </c>
      <c r="AM776" s="62"/>
      <c r="AN776" s="58" t="n">
        <v>0</v>
      </c>
      <c r="AO776" s="58" t="n">
        <v>6.68</v>
      </c>
      <c r="AP776" s="62" t="n">
        <v>23.9</v>
      </c>
      <c r="AQ776" s="62" t="n">
        <v>481</v>
      </c>
      <c r="AR776" s="67" t="n">
        <f aca="false">0.55*AQ776</f>
        <v>264.55</v>
      </c>
      <c r="AS776" s="58" t="n">
        <v>0</v>
      </c>
      <c r="AT776" s="58" t="n">
        <v>8.3</v>
      </c>
      <c r="AU776" s="62" t="n">
        <v>24.5</v>
      </c>
      <c r="AV776" s="62" t="n">
        <v>681</v>
      </c>
      <c r="AW776" s="62" t="n">
        <f aca="false">0.55*AV776</f>
        <v>374.55</v>
      </c>
      <c r="AX776" s="62" t="n">
        <v>0.9</v>
      </c>
      <c r="AY776" s="58" t="n">
        <v>0</v>
      </c>
    </row>
    <row r="777" customFormat="false" ht="16.15" hidden="false" customHeight="false" outlineLevel="0" collapsed="false">
      <c r="A777" s="68" t="s">
        <v>203</v>
      </c>
      <c r="B777" s="2" t="s">
        <v>201</v>
      </c>
      <c r="C777" s="57" t="n">
        <v>8.04</v>
      </c>
      <c r="D777" s="62" t="n">
        <v>26.7</v>
      </c>
      <c r="E777" s="62" t="n">
        <v>53.3</v>
      </c>
      <c r="F777" s="62" t="n">
        <f aca="false">E777*0.7</f>
        <v>37.31</v>
      </c>
      <c r="G777" s="58" t="n">
        <v>0.01</v>
      </c>
      <c r="H777" s="58" t="n">
        <v>8.03</v>
      </c>
      <c r="I777" s="62" t="n">
        <v>24</v>
      </c>
      <c r="J777" s="63"/>
      <c r="K777" s="63"/>
      <c r="L777" s="62" t="n">
        <v>0.83</v>
      </c>
      <c r="M777" s="58" t="n">
        <v>8.04</v>
      </c>
      <c r="N777" s="62" t="n">
        <v>24</v>
      </c>
      <c r="O777" s="63"/>
      <c r="P777" s="63"/>
      <c r="Q777" s="62" t="n">
        <v>0.56</v>
      </c>
      <c r="R777" s="58" t="n">
        <v>8.02</v>
      </c>
      <c r="S777" s="62" t="n">
        <v>24.1</v>
      </c>
      <c r="T777" s="63"/>
      <c r="U777" s="63"/>
      <c r="V777" s="58" t="n">
        <v>0</v>
      </c>
      <c r="W777" s="58" t="n">
        <v>8.02</v>
      </c>
      <c r="X777" s="62" t="n">
        <v>24.2</v>
      </c>
      <c r="Y777" s="63"/>
      <c r="Z777" s="63"/>
      <c r="AA777" s="58" t="n">
        <v>0</v>
      </c>
      <c r="AB777" s="58" t="n">
        <v>8</v>
      </c>
      <c r="AC777" s="62" t="n">
        <v>23.4</v>
      </c>
      <c r="AD777" s="62" t="n">
        <v>53.4</v>
      </c>
      <c r="AE777" s="62" t="n">
        <f aca="false">AD777*0.7</f>
        <v>37.38</v>
      </c>
      <c r="AF777" s="62"/>
      <c r="AG777" s="58" t="n">
        <v>0</v>
      </c>
      <c r="AH777" s="62"/>
      <c r="AI777" s="58" t="n">
        <v>7.98</v>
      </c>
      <c r="AJ777" s="62" t="n">
        <v>23.4</v>
      </c>
      <c r="AK777" s="62" t="n">
        <v>53.4</v>
      </c>
      <c r="AL777" s="62" t="n">
        <f aca="false">AK777*0.7</f>
        <v>37.38</v>
      </c>
      <c r="AM777" s="62"/>
      <c r="AN777" s="58" t="n">
        <v>0</v>
      </c>
      <c r="AO777" s="58" t="n">
        <v>6.74</v>
      </c>
      <c r="AP777" s="62" t="n">
        <v>24.1</v>
      </c>
      <c r="AQ777" s="62" t="n">
        <v>431</v>
      </c>
      <c r="AR777" s="67" t="n">
        <f aca="false">0.55*AQ777</f>
        <v>237.05</v>
      </c>
      <c r="AS777" s="58" t="n">
        <v>0</v>
      </c>
      <c r="AT777" s="58" t="n">
        <v>8</v>
      </c>
      <c r="AU777" s="62" t="n">
        <v>24.7</v>
      </c>
      <c r="AV777" s="62" t="n">
        <v>675</v>
      </c>
      <c r="AW777" s="62" t="n">
        <f aca="false">0.55*AV777</f>
        <v>371.25</v>
      </c>
      <c r="AX777" s="62" t="n">
        <v>0.9</v>
      </c>
      <c r="AY777" s="58" t="n">
        <v>0</v>
      </c>
    </row>
    <row r="778" customFormat="false" ht="16.15" hidden="false" customHeight="false" outlineLevel="0" collapsed="false">
      <c r="A778" s="68" t="s">
        <v>204</v>
      </c>
      <c r="B778" s="2" t="s">
        <v>201</v>
      </c>
      <c r="C778" s="57" t="n">
        <v>8.08</v>
      </c>
      <c r="D778" s="62" t="n">
        <v>24.8</v>
      </c>
      <c r="E778" s="62" t="n">
        <v>53.5</v>
      </c>
      <c r="F778" s="62" t="n">
        <f aca="false">E778*0.7</f>
        <v>37.45</v>
      </c>
      <c r="G778" s="58" t="n">
        <v>0.01</v>
      </c>
      <c r="H778" s="58" t="n">
        <v>8.07</v>
      </c>
      <c r="I778" s="62" t="n">
        <v>23.5</v>
      </c>
      <c r="J778" s="63"/>
      <c r="K778" s="63"/>
      <c r="L778" s="62" t="n">
        <v>0.47</v>
      </c>
      <c r="M778" s="58" t="n">
        <v>8.07</v>
      </c>
      <c r="N778" s="62" t="n">
        <v>23.5</v>
      </c>
      <c r="O778" s="63"/>
      <c r="P778" s="63"/>
      <c r="Q778" s="62" t="n">
        <v>0.5</v>
      </c>
      <c r="R778" s="58" t="n">
        <v>8.06</v>
      </c>
      <c r="S778" s="62" t="n">
        <v>23.5</v>
      </c>
      <c r="T778" s="63"/>
      <c r="U778" s="63"/>
      <c r="V778" s="58" t="n">
        <v>0</v>
      </c>
      <c r="W778" s="58" t="n">
        <v>8.06</v>
      </c>
      <c r="X778" s="62" t="n">
        <v>23.5</v>
      </c>
      <c r="Y778" s="63"/>
      <c r="Z778" s="63"/>
      <c r="AA778" s="58" t="n">
        <v>0</v>
      </c>
      <c r="AB778" s="58" t="n">
        <v>8.05</v>
      </c>
      <c r="AC778" s="62" t="n">
        <v>23.2</v>
      </c>
      <c r="AD778" s="62" t="n">
        <v>53.5</v>
      </c>
      <c r="AE778" s="62" t="n">
        <f aca="false">AD778*0.7</f>
        <v>37.45</v>
      </c>
      <c r="AF778" s="62"/>
      <c r="AG778" s="58" t="n">
        <v>0</v>
      </c>
      <c r="AH778" s="62"/>
      <c r="AI778" s="58" t="n">
        <v>8.04</v>
      </c>
      <c r="AJ778" s="62" t="n">
        <v>23.3</v>
      </c>
      <c r="AK778" s="62" t="n">
        <v>53.5</v>
      </c>
      <c r="AL778" s="62" t="n">
        <f aca="false">AK778*0.7</f>
        <v>37.45</v>
      </c>
      <c r="AM778" s="62"/>
      <c r="AN778" s="58" t="n">
        <v>0</v>
      </c>
      <c r="AO778" s="58" t="n">
        <v>6.7</v>
      </c>
      <c r="AP778" s="62" t="n">
        <v>23.9</v>
      </c>
      <c r="AQ778" s="62" t="n">
        <v>427</v>
      </c>
      <c r="AR778" s="67" t="n">
        <f aca="false">0.55*AQ778</f>
        <v>234.85</v>
      </c>
      <c r="AS778" s="58" t="n">
        <v>0</v>
      </c>
      <c r="AT778" s="58" t="n">
        <v>8.06</v>
      </c>
      <c r="AU778" s="62" t="n">
        <v>24.4</v>
      </c>
      <c r="AV778" s="62" t="n">
        <v>669</v>
      </c>
      <c r="AW778" s="62" t="n">
        <f aca="false">0.55*AV778</f>
        <v>367.95</v>
      </c>
      <c r="AX778" s="62" t="n">
        <v>0.9</v>
      </c>
      <c r="AY778" s="58" t="n">
        <v>0</v>
      </c>
    </row>
    <row r="779" customFormat="false" ht="16.15" hidden="false" customHeight="false" outlineLevel="0" collapsed="false">
      <c r="A779" s="68" t="s">
        <v>205</v>
      </c>
      <c r="B779" s="2" t="s">
        <v>201</v>
      </c>
      <c r="C779" s="57" t="n">
        <v>8.06</v>
      </c>
      <c r="D779" s="62" t="n">
        <v>26.3</v>
      </c>
      <c r="E779" s="62" t="n">
        <v>53.6</v>
      </c>
      <c r="F779" s="62"/>
      <c r="G779" s="58" t="n">
        <v>0.09</v>
      </c>
      <c r="H779" s="58" t="n">
        <v>8.08</v>
      </c>
      <c r="I779" s="62" t="n">
        <v>24</v>
      </c>
      <c r="J779" s="63"/>
      <c r="K779" s="63"/>
      <c r="L779" s="62" t="n">
        <v>0.31</v>
      </c>
      <c r="M779" s="58" t="n">
        <v>8.09</v>
      </c>
      <c r="N779" s="62" t="n">
        <v>24</v>
      </c>
      <c r="O779" s="63"/>
      <c r="P779" s="63"/>
      <c r="Q779" s="62" t="n">
        <v>0.33</v>
      </c>
      <c r="R779" s="58" t="n">
        <v>8.07</v>
      </c>
      <c r="S779" s="62" t="n">
        <v>23.9</v>
      </c>
      <c r="T779" s="63"/>
      <c r="U779" s="63"/>
      <c r="V779" s="58" t="n">
        <v>0</v>
      </c>
      <c r="W779" s="58" t="n">
        <v>8.07</v>
      </c>
      <c r="X779" s="62" t="n">
        <v>23.9</v>
      </c>
      <c r="Y779" s="63"/>
      <c r="Z779" s="63"/>
      <c r="AA779" s="58" t="n">
        <v>0</v>
      </c>
      <c r="AB779" s="58" t="n">
        <v>8.07</v>
      </c>
      <c r="AC779" s="62" t="n">
        <v>23.5</v>
      </c>
      <c r="AD779" s="62" t="n">
        <v>53.4</v>
      </c>
      <c r="AE779" s="62" t="n">
        <f aca="false">AD779*0.7</f>
        <v>37.38</v>
      </c>
      <c r="AF779" s="62"/>
      <c r="AG779" s="58" t="n">
        <v>0</v>
      </c>
      <c r="AH779" s="62"/>
      <c r="AI779" s="58" t="n">
        <v>8.08</v>
      </c>
      <c r="AJ779" s="62" t="n">
        <v>23.5</v>
      </c>
      <c r="AK779" s="62" t="n">
        <v>53.4</v>
      </c>
      <c r="AL779" s="62" t="n">
        <f aca="false">AK779*0.7</f>
        <v>37.38</v>
      </c>
      <c r="AM779" s="62"/>
      <c r="AN779" s="58" t="n">
        <v>0</v>
      </c>
      <c r="AO779" s="58" t="n">
        <v>6.75</v>
      </c>
      <c r="AP779" s="62" t="n">
        <v>23.9</v>
      </c>
      <c r="AQ779" s="62" t="n">
        <v>560</v>
      </c>
      <c r="AR779" s="58" t="n">
        <f aca="false">AQ779*0.55</f>
        <v>308</v>
      </c>
      <c r="AS779" s="58" t="n">
        <v>0</v>
      </c>
      <c r="AT779" s="58" t="n">
        <v>8.04</v>
      </c>
      <c r="AU779" s="62" t="n">
        <v>24.6</v>
      </c>
      <c r="AV779" s="62" t="n">
        <v>663</v>
      </c>
      <c r="AW779" s="58" t="n">
        <f aca="false">AV779*0.55</f>
        <v>364.65</v>
      </c>
      <c r="AX779" s="62" t="n">
        <v>0.9</v>
      </c>
      <c r="AY779" s="58" t="n">
        <v>0</v>
      </c>
    </row>
    <row r="780" customFormat="false" ht="16.15" hidden="false" customHeight="false" outlineLevel="0" collapsed="false">
      <c r="A780" s="68" t="s">
        <v>206</v>
      </c>
      <c r="B780" s="2" t="s">
        <v>201</v>
      </c>
      <c r="C780" s="57" t="n">
        <v>8.13</v>
      </c>
      <c r="D780" s="62" t="n">
        <v>25.2</v>
      </c>
      <c r="E780" s="62" t="n">
        <v>53.7</v>
      </c>
      <c r="F780" s="62" t="n">
        <f aca="false">E780*0.7</f>
        <v>37.59</v>
      </c>
      <c r="G780" s="58" t="n">
        <v>0.14</v>
      </c>
      <c r="H780" s="58" t="n">
        <v>8.12</v>
      </c>
      <c r="I780" s="62" t="n">
        <v>24.4</v>
      </c>
      <c r="J780" s="63"/>
      <c r="K780" s="63"/>
      <c r="L780" s="62" t="n">
        <v>0.12</v>
      </c>
      <c r="M780" s="58" t="n">
        <v>8.1</v>
      </c>
      <c r="N780" s="62" t="n">
        <v>24.2</v>
      </c>
      <c r="O780" s="63"/>
      <c r="P780" s="63"/>
      <c r="Q780" s="62" t="n">
        <v>0.17</v>
      </c>
      <c r="R780" s="58" t="n">
        <v>8.08</v>
      </c>
      <c r="S780" s="62" t="n">
        <v>24.3</v>
      </c>
      <c r="T780" s="63"/>
      <c r="U780" s="63"/>
      <c r="V780" s="58" t="n">
        <v>0</v>
      </c>
      <c r="W780" s="58" t="n">
        <v>8.05</v>
      </c>
      <c r="X780" s="62" t="n">
        <v>24.3</v>
      </c>
      <c r="Y780" s="63"/>
      <c r="Z780" s="63"/>
      <c r="AA780" s="58" t="n">
        <v>0</v>
      </c>
      <c r="AB780" s="58" t="n">
        <v>7.99</v>
      </c>
      <c r="AC780" s="62" t="n">
        <v>24.4</v>
      </c>
      <c r="AD780" s="62" t="n">
        <v>53.6</v>
      </c>
      <c r="AE780" s="62" t="n">
        <f aca="false">AD780*0.7</f>
        <v>37.52</v>
      </c>
      <c r="AF780" s="62"/>
      <c r="AG780" s="58" t="n">
        <v>0</v>
      </c>
      <c r="AH780" s="62"/>
      <c r="AI780" s="58" t="n">
        <v>7.99</v>
      </c>
      <c r="AJ780" s="62" t="n">
        <v>24.4</v>
      </c>
      <c r="AK780" s="62" t="n">
        <v>53.6</v>
      </c>
      <c r="AL780" s="62" t="n">
        <f aca="false">AK780*0.7</f>
        <v>37.52</v>
      </c>
      <c r="AM780" s="62"/>
      <c r="AN780" s="58" t="n">
        <v>0</v>
      </c>
      <c r="AO780" s="58" t="n">
        <v>6.71</v>
      </c>
      <c r="AP780" s="62" t="n">
        <v>24.5</v>
      </c>
      <c r="AQ780" s="62" t="n">
        <v>401</v>
      </c>
      <c r="AR780" s="58" t="n">
        <f aca="false">AQ780*0.55</f>
        <v>220.55</v>
      </c>
      <c r="AS780" s="58" t="n">
        <v>0</v>
      </c>
      <c r="AT780" s="58" t="n">
        <v>8.26</v>
      </c>
      <c r="AU780" s="62" t="n">
        <v>24.7</v>
      </c>
      <c r="AV780" s="62" t="n">
        <v>789</v>
      </c>
      <c r="AW780" s="58" t="n">
        <f aca="false">AV780*0.55</f>
        <v>433.95</v>
      </c>
      <c r="AX780" s="62" t="n">
        <v>1</v>
      </c>
      <c r="AY780" s="58" t="n">
        <v>0</v>
      </c>
    </row>
    <row r="781" customFormat="false" ht="15" hidden="false" customHeight="false" outlineLevel="0" collapsed="false">
      <c r="A781" s="68" t="s">
        <v>207</v>
      </c>
      <c r="B781" s="2" t="s">
        <v>201</v>
      </c>
      <c r="C781" s="69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  <c r="AL781" s="70"/>
      <c r="AM781" s="70"/>
      <c r="AN781" s="70"/>
      <c r="AO781" s="70"/>
      <c r="AP781" s="70"/>
      <c r="AQ781" s="70"/>
      <c r="AR781" s="70"/>
      <c r="AS781" s="70"/>
      <c r="AT781" s="70"/>
      <c r="AU781" s="70"/>
      <c r="AV781" s="70"/>
      <c r="AW781" s="70"/>
      <c r="AX781" s="70"/>
      <c r="AY781" s="70"/>
    </row>
    <row r="782" customFormat="false" ht="16.15" hidden="false" customHeight="false" outlineLevel="0" collapsed="false">
      <c r="A782" s="68" t="s">
        <v>208</v>
      </c>
      <c r="B782" s="2" t="s">
        <v>201</v>
      </c>
      <c r="C782" s="57" t="n">
        <v>8.09</v>
      </c>
      <c r="D782" s="62" t="n">
        <v>22.6</v>
      </c>
      <c r="E782" s="62" t="n">
        <v>53.6</v>
      </c>
      <c r="F782" s="62" t="n">
        <f aca="false">E782*0.7</f>
        <v>37.52</v>
      </c>
      <c r="G782" s="58" t="n">
        <v>0.13</v>
      </c>
      <c r="H782" s="58" t="n">
        <v>8.08</v>
      </c>
      <c r="I782" s="62" t="n">
        <v>22.2</v>
      </c>
      <c r="J782" s="63"/>
      <c r="K782" s="63"/>
      <c r="L782" s="62" t="n">
        <v>0.84</v>
      </c>
      <c r="M782" s="58" t="n">
        <v>8.08</v>
      </c>
      <c r="N782" s="62" t="n">
        <v>22.3</v>
      </c>
      <c r="O782" s="63"/>
      <c r="P782" s="63"/>
      <c r="Q782" s="62" t="n">
        <v>0.61</v>
      </c>
      <c r="R782" s="58" t="n">
        <v>8.06</v>
      </c>
      <c r="S782" s="62" t="n">
        <v>22.4</v>
      </c>
      <c r="T782" s="63"/>
      <c r="U782" s="63"/>
      <c r="V782" s="58" t="n">
        <v>0</v>
      </c>
      <c r="W782" s="58" t="n">
        <v>8.06</v>
      </c>
      <c r="X782" s="62" t="n">
        <v>22.4</v>
      </c>
      <c r="Y782" s="63"/>
      <c r="Z782" s="63"/>
      <c r="AA782" s="58" t="n">
        <v>0</v>
      </c>
      <c r="AB782" s="58" t="n">
        <v>8</v>
      </c>
      <c r="AC782" s="62" t="n">
        <v>22.8</v>
      </c>
      <c r="AD782" s="62" t="n">
        <v>53.4</v>
      </c>
      <c r="AE782" s="62" t="n">
        <f aca="false">AD782*0.7</f>
        <v>37.38</v>
      </c>
      <c r="AF782" s="62"/>
      <c r="AG782" s="58" t="n">
        <v>0</v>
      </c>
      <c r="AH782" s="62"/>
      <c r="AI782" s="58" t="n">
        <v>8</v>
      </c>
      <c r="AJ782" s="62" t="n">
        <v>22.9</v>
      </c>
      <c r="AK782" s="62" t="n">
        <v>53.4</v>
      </c>
      <c r="AL782" s="62" t="n">
        <f aca="false">AK782*0.7</f>
        <v>37.38</v>
      </c>
      <c r="AM782" s="62"/>
      <c r="AN782" s="58" t="n">
        <v>0</v>
      </c>
      <c r="AO782" s="58" t="n">
        <v>6.78</v>
      </c>
      <c r="AP782" s="62" t="n">
        <v>23.5</v>
      </c>
      <c r="AQ782" s="62" t="n">
        <v>418</v>
      </c>
      <c r="AR782" s="58" t="n">
        <f aca="false">AQ782*0.55</f>
        <v>229.9</v>
      </c>
      <c r="AS782" s="58" t="n">
        <v>0</v>
      </c>
      <c r="AT782" s="58" t="n">
        <v>8.01</v>
      </c>
      <c r="AU782" s="62" t="n">
        <v>23.6</v>
      </c>
      <c r="AV782" s="62" t="n">
        <v>613</v>
      </c>
      <c r="AW782" s="58" t="n">
        <f aca="false">AV782*0.55</f>
        <v>337.15</v>
      </c>
      <c r="AX782" s="62" t="n">
        <v>1</v>
      </c>
      <c r="AY782" s="58" t="n">
        <v>0</v>
      </c>
    </row>
    <row r="783" customFormat="false" ht="16.15" hidden="false" customHeight="false" outlineLevel="0" collapsed="false">
      <c r="A783" s="68" t="s">
        <v>209</v>
      </c>
      <c r="B783" s="2" t="s">
        <v>201</v>
      </c>
      <c r="C783" s="57" t="n">
        <v>8.1</v>
      </c>
      <c r="D783" s="62" t="n">
        <v>24.1</v>
      </c>
      <c r="E783" s="62" t="n">
        <v>53.4</v>
      </c>
      <c r="F783" s="62" t="n">
        <f aca="false">E783*0.7</f>
        <v>37.38</v>
      </c>
      <c r="G783" s="58" t="n">
        <v>0.1</v>
      </c>
      <c r="H783" s="58" t="n">
        <v>8.08</v>
      </c>
      <c r="I783" s="62" t="n">
        <v>23.4</v>
      </c>
      <c r="J783" s="63"/>
      <c r="K783" s="63"/>
      <c r="L783" s="62" t="n">
        <v>0.13</v>
      </c>
      <c r="M783" s="58" t="n">
        <v>8.09</v>
      </c>
      <c r="N783" s="62" t="n">
        <v>23.3</v>
      </c>
      <c r="O783" s="63"/>
      <c r="P783" s="63"/>
      <c r="Q783" s="62" t="n">
        <v>0.12</v>
      </c>
      <c r="R783" s="58" t="n">
        <v>8.06</v>
      </c>
      <c r="S783" s="62" t="n">
        <v>23.2</v>
      </c>
      <c r="T783" s="63"/>
      <c r="U783" s="63"/>
      <c r="V783" s="58" t="n">
        <v>0</v>
      </c>
      <c r="W783" s="58" t="n">
        <v>8.06</v>
      </c>
      <c r="X783" s="62" t="n">
        <v>23.4</v>
      </c>
      <c r="Y783" s="63"/>
      <c r="Z783" s="63"/>
      <c r="AA783" s="58" t="n">
        <v>0</v>
      </c>
      <c r="AB783" s="58" t="n">
        <v>8.02</v>
      </c>
      <c r="AC783" s="62" t="n">
        <v>23.2</v>
      </c>
      <c r="AD783" s="62" t="n">
        <v>53.4</v>
      </c>
      <c r="AE783" s="62" t="n">
        <f aca="false">AD783*0.7</f>
        <v>37.38</v>
      </c>
      <c r="AF783" s="62"/>
      <c r="AG783" s="58" t="n">
        <v>0</v>
      </c>
      <c r="AH783" s="62"/>
      <c r="AI783" s="58" t="n">
        <v>8.02</v>
      </c>
      <c r="AJ783" s="62" t="n">
        <v>23.4</v>
      </c>
      <c r="AK783" s="62" t="n">
        <v>53.4</v>
      </c>
      <c r="AL783" s="62" t="n">
        <f aca="false">AK783*0.7</f>
        <v>37.38</v>
      </c>
      <c r="AM783" s="62"/>
      <c r="AN783" s="58" t="n">
        <v>0</v>
      </c>
      <c r="AO783" s="58" t="n">
        <v>6.61</v>
      </c>
      <c r="AP783" s="62" t="n">
        <v>23.5</v>
      </c>
      <c r="AQ783" s="62" t="n">
        <v>653</v>
      </c>
      <c r="AR783" s="58" t="n">
        <f aca="false">AQ783*0.55</f>
        <v>359.15</v>
      </c>
      <c r="AS783" s="58" t="n">
        <v>0</v>
      </c>
      <c r="AT783" s="58" t="n">
        <v>8.06</v>
      </c>
      <c r="AU783" s="62" t="n">
        <v>23.6</v>
      </c>
      <c r="AV783" s="62" t="n">
        <v>633</v>
      </c>
      <c r="AW783" s="58" t="n">
        <f aca="false">AV783*0.55</f>
        <v>348.15</v>
      </c>
      <c r="AX783" s="62" t="n">
        <v>1</v>
      </c>
      <c r="AY783" s="58" t="n">
        <v>0</v>
      </c>
    </row>
    <row r="784" customFormat="false" ht="16.15" hidden="false" customHeight="false" outlineLevel="0" collapsed="false">
      <c r="A784" s="68" t="s">
        <v>210</v>
      </c>
      <c r="B784" s="2" t="s">
        <v>201</v>
      </c>
      <c r="C784" s="57" t="n">
        <v>8.1</v>
      </c>
      <c r="D784" s="62" t="n">
        <v>23.3</v>
      </c>
      <c r="E784" s="62" t="n">
        <v>53.1</v>
      </c>
      <c r="F784" s="62" t="n">
        <f aca="false">E784*0.7</f>
        <v>37.17</v>
      </c>
      <c r="G784" s="58" t="n">
        <v>0.01</v>
      </c>
      <c r="H784" s="58" t="n">
        <v>8.09</v>
      </c>
      <c r="I784" s="62" t="n">
        <v>22.7</v>
      </c>
      <c r="J784" s="63"/>
      <c r="K784" s="63"/>
      <c r="L784" s="62" t="n">
        <v>0.52</v>
      </c>
      <c r="M784" s="58" t="n">
        <v>8.09</v>
      </c>
      <c r="N784" s="62" t="n">
        <v>22.7</v>
      </c>
      <c r="O784" s="63"/>
      <c r="P784" s="63"/>
      <c r="Q784" s="62" t="n">
        <v>0.42</v>
      </c>
      <c r="R784" s="58" t="n">
        <v>8.06</v>
      </c>
      <c r="S784" s="62" t="n">
        <v>22.5</v>
      </c>
      <c r="T784" s="63"/>
      <c r="U784" s="63"/>
      <c r="V784" s="58" t="n">
        <v>0</v>
      </c>
      <c r="W784" s="58" t="n">
        <v>8.06</v>
      </c>
      <c r="X784" s="62" t="n">
        <v>22.5</v>
      </c>
      <c r="Y784" s="63"/>
      <c r="Z784" s="63"/>
      <c r="AA784" s="58" t="n">
        <v>0</v>
      </c>
      <c r="AB784" s="58" t="n">
        <v>8.15</v>
      </c>
      <c r="AC784" s="62" t="n">
        <v>22.3</v>
      </c>
      <c r="AD784" s="62" t="n">
        <v>53.1</v>
      </c>
      <c r="AE784" s="62" t="n">
        <f aca="false">AD784*0.7</f>
        <v>37.17</v>
      </c>
      <c r="AF784" s="62"/>
      <c r="AG784" s="58" t="n">
        <v>0</v>
      </c>
      <c r="AH784" s="62"/>
      <c r="AI784" s="58" t="n">
        <v>8.14</v>
      </c>
      <c r="AJ784" s="62" t="n">
        <v>22.4</v>
      </c>
      <c r="AK784" s="62" t="n">
        <v>53.1</v>
      </c>
      <c r="AL784" s="62" t="n">
        <f aca="false">AK784*0.7</f>
        <v>37.17</v>
      </c>
      <c r="AM784" s="62"/>
      <c r="AN784" s="58" t="n">
        <v>0</v>
      </c>
      <c r="AO784" s="58" t="n">
        <v>6.75</v>
      </c>
      <c r="AP784" s="62" t="n">
        <v>22.8</v>
      </c>
      <c r="AQ784" s="62" t="n">
        <v>683</v>
      </c>
      <c r="AR784" s="58" t="n">
        <f aca="false">AQ784*0.55</f>
        <v>375.65</v>
      </c>
      <c r="AS784" s="58" t="n">
        <v>0</v>
      </c>
      <c r="AT784" s="58" t="n">
        <v>8.27</v>
      </c>
      <c r="AU784" s="62" t="n">
        <v>20.7</v>
      </c>
      <c r="AV784" s="62" t="n">
        <v>604</v>
      </c>
      <c r="AW784" s="58" t="n">
        <f aca="false">AV784*0.55</f>
        <v>332.2</v>
      </c>
      <c r="AX784" s="62" t="n">
        <v>1</v>
      </c>
      <c r="AY784" s="58" t="n">
        <v>0</v>
      </c>
    </row>
    <row r="785" customFormat="false" ht="16.15" hidden="false" customHeight="false" outlineLevel="0" collapsed="false">
      <c r="A785" s="68" t="s">
        <v>211</v>
      </c>
      <c r="B785" s="2" t="s">
        <v>201</v>
      </c>
      <c r="C785" s="57" t="n">
        <v>8.09</v>
      </c>
      <c r="D785" s="62" t="n">
        <v>23.1</v>
      </c>
      <c r="E785" s="62" t="n">
        <v>53</v>
      </c>
      <c r="F785" s="62" t="n">
        <f aca="false">E785*0.7</f>
        <v>37.1</v>
      </c>
      <c r="G785" s="58" t="n">
        <v>0.01</v>
      </c>
      <c r="H785" s="58" t="n">
        <v>8.08</v>
      </c>
      <c r="I785" s="62" t="n">
        <v>22.3</v>
      </c>
      <c r="J785" s="63"/>
      <c r="K785" s="63"/>
      <c r="L785" s="62" t="n">
        <v>0.24</v>
      </c>
      <c r="M785" s="58" t="n">
        <v>8.07</v>
      </c>
      <c r="N785" s="62" t="n">
        <v>22.3</v>
      </c>
      <c r="O785" s="63"/>
      <c r="P785" s="63"/>
      <c r="Q785" s="62" t="n">
        <v>0.15</v>
      </c>
      <c r="R785" s="58" t="n">
        <v>8.07</v>
      </c>
      <c r="S785" s="62" t="n">
        <v>22.1</v>
      </c>
      <c r="T785" s="63"/>
      <c r="U785" s="63"/>
      <c r="V785" s="58" t="n">
        <v>0</v>
      </c>
      <c r="W785" s="58" t="n">
        <v>8.07</v>
      </c>
      <c r="X785" s="62" t="n">
        <v>22.1</v>
      </c>
      <c r="Y785" s="63"/>
      <c r="Z785" s="63"/>
      <c r="AA785" s="58" t="n">
        <v>0</v>
      </c>
      <c r="AB785" s="58" t="n">
        <v>8.06</v>
      </c>
      <c r="AC785" s="62" t="n">
        <v>22</v>
      </c>
      <c r="AD785" s="62" t="n">
        <v>53</v>
      </c>
      <c r="AE785" s="62" t="n">
        <f aca="false">AD785*0.7</f>
        <v>37.1</v>
      </c>
      <c r="AF785" s="62"/>
      <c r="AG785" s="58" t="n">
        <v>0</v>
      </c>
      <c r="AH785" s="21"/>
      <c r="AI785" s="58" t="n">
        <v>8.07</v>
      </c>
      <c r="AJ785" s="62" t="n">
        <v>22.1</v>
      </c>
      <c r="AK785" s="62" t="n">
        <v>53</v>
      </c>
      <c r="AL785" s="62" t="n">
        <f aca="false">AK785*0.7</f>
        <v>37.1</v>
      </c>
      <c r="AM785" s="62"/>
      <c r="AN785" s="58" t="n">
        <v>0</v>
      </c>
      <c r="AO785" s="58" t="n">
        <v>6.61</v>
      </c>
      <c r="AP785" s="62" t="n">
        <v>22.6</v>
      </c>
      <c r="AQ785" s="62" t="n">
        <v>432</v>
      </c>
      <c r="AR785" s="58" t="n">
        <f aca="false">AQ785*0.55</f>
        <v>237.6</v>
      </c>
      <c r="AS785" s="58" t="n">
        <v>0</v>
      </c>
      <c r="AT785" s="58" t="n">
        <v>8.01</v>
      </c>
      <c r="AU785" s="62" t="n">
        <v>23.2</v>
      </c>
      <c r="AV785" s="62" t="n">
        <v>592</v>
      </c>
      <c r="AW785" s="58" t="n">
        <f aca="false">AV785*0.55</f>
        <v>325.6</v>
      </c>
      <c r="AX785" s="62" t="n">
        <v>1</v>
      </c>
      <c r="AY785" s="58" t="n">
        <v>0</v>
      </c>
    </row>
    <row r="786" customFormat="false" ht="16.15" hidden="false" customHeight="false" outlineLevel="0" collapsed="false">
      <c r="A786" s="68" t="s">
        <v>212</v>
      </c>
      <c r="B786" s="2" t="s">
        <v>201</v>
      </c>
      <c r="C786" s="57" t="n">
        <v>8.1</v>
      </c>
      <c r="D786" s="62" t="n">
        <v>23.7</v>
      </c>
      <c r="E786" s="62" t="n">
        <v>53.3</v>
      </c>
      <c r="F786" s="62" t="n">
        <f aca="false">E786*0.7</f>
        <v>37.31</v>
      </c>
      <c r="G786" s="58" t="n">
        <v>0.01</v>
      </c>
      <c r="H786" s="58" t="n">
        <v>8.09</v>
      </c>
      <c r="I786" s="62" t="n">
        <v>22.5</v>
      </c>
      <c r="J786" s="63"/>
      <c r="K786" s="63"/>
      <c r="L786" s="62" t="n">
        <v>0.37</v>
      </c>
      <c r="M786" s="58" t="n">
        <v>8.08</v>
      </c>
      <c r="N786" s="62" t="n">
        <v>22.5</v>
      </c>
      <c r="O786" s="63"/>
      <c r="P786" s="63"/>
      <c r="Q786" s="62" t="n">
        <v>0.36</v>
      </c>
      <c r="R786" s="58" t="n">
        <v>8.07</v>
      </c>
      <c r="S786" s="62" t="n">
        <v>22.2</v>
      </c>
      <c r="T786" s="63"/>
      <c r="U786" s="63"/>
      <c r="V786" s="58" t="n">
        <v>0</v>
      </c>
      <c r="W786" s="58" t="n">
        <v>8.07</v>
      </c>
      <c r="X786" s="62" t="n">
        <v>22.2</v>
      </c>
      <c r="Y786" s="63"/>
      <c r="Z786" s="63"/>
      <c r="AA786" s="58" t="n">
        <v>0</v>
      </c>
      <c r="AB786" s="58" t="n">
        <v>8.05</v>
      </c>
      <c r="AC786" s="62" t="n">
        <v>22.1</v>
      </c>
      <c r="AD786" s="62" t="n">
        <v>53.1</v>
      </c>
      <c r="AE786" s="62" t="n">
        <f aca="false">AD786*0.7</f>
        <v>37.17</v>
      </c>
      <c r="AF786" s="62"/>
      <c r="AG786" s="58" t="n">
        <v>0</v>
      </c>
      <c r="AH786" s="62"/>
      <c r="AI786" s="58" t="n">
        <v>8.06</v>
      </c>
      <c r="AJ786" s="62" t="n">
        <v>22.2</v>
      </c>
      <c r="AK786" s="62" t="n">
        <v>53.1</v>
      </c>
      <c r="AL786" s="62" t="n">
        <f aca="false">AK786*0.7</f>
        <v>37.17</v>
      </c>
      <c r="AM786" s="62"/>
      <c r="AN786" s="58" t="n">
        <v>0</v>
      </c>
      <c r="AO786" s="58" t="n">
        <v>6.68</v>
      </c>
      <c r="AP786" s="62" t="n">
        <v>22.6</v>
      </c>
      <c r="AQ786" s="62" t="n">
        <v>626</v>
      </c>
      <c r="AR786" s="58" t="n">
        <f aca="false">AQ786*0.55</f>
        <v>344.3</v>
      </c>
      <c r="AS786" s="58" t="n">
        <v>0</v>
      </c>
      <c r="AT786" s="58" t="n">
        <v>8</v>
      </c>
      <c r="AU786" s="62" t="n">
        <v>23</v>
      </c>
      <c r="AV786" s="62" t="n">
        <v>595</v>
      </c>
      <c r="AW786" s="58" t="n">
        <f aca="false">AV786*0.55</f>
        <v>327.25</v>
      </c>
      <c r="AX786" s="62" t="n">
        <v>1</v>
      </c>
      <c r="AY786" s="58" t="n">
        <v>0</v>
      </c>
    </row>
    <row r="787" customFormat="false" ht="16.15" hidden="false" customHeight="false" outlineLevel="0" collapsed="false">
      <c r="A787" s="68" t="s">
        <v>213</v>
      </c>
      <c r="B787" s="2" t="s">
        <v>201</v>
      </c>
      <c r="C787" s="57" t="n">
        <v>8.07</v>
      </c>
      <c r="D787" s="62" t="n">
        <v>23.2</v>
      </c>
      <c r="E787" s="62" t="n">
        <v>53.2</v>
      </c>
      <c r="F787" s="62" t="n">
        <f aca="false">E787*0.7</f>
        <v>37.24</v>
      </c>
      <c r="G787" s="58" t="n">
        <v>0.01</v>
      </c>
      <c r="H787" s="58" t="n">
        <v>8.05</v>
      </c>
      <c r="I787" s="62" t="n">
        <v>22.4</v>
      </c>
      <c r="J787" s="63"/>
      <c r="K787" s="63"/>
      <c r="L787" s="62" t="n">
        <v>0.09</v>
      </c>
      <c r="M787" s="58" t="n">
        <v>8.06</v>
      </c>
      <c r="N787" s="62" t="n">
        <v>22.4</v>
      </c>
      <c r="O787" s="63"/>
      <c r="P787" s="63"/>
      <c r="Q787" s="62" t="n">
        <v>0.13</v>
      </c>
      <c r="R787" s="58" t="n">
        <v>8.03</v>
      </c>
      <c r="S787" s="62" t="n">
        <v>23.3</v>
      </c>
      <c r="T787" s="63"/>
      <c r="U787" s="63"/>
      <c r="V787" s="58" t="n">
        <v>0</v>
      </c>
      <c r="W787" s="58" t="n">
        <v>8.03</v>
      </c>
      <c r="X787" s="62" t="n">
        <v>2.3</v>
      </c>
      <c r="Y787" s="63"/>
      <c r="Z787" s="63"/>
      <c r="AA787" s="58" t="n">
        <v>0</v>
      </c>
      <c r="AB787" s="58" t="n">
        <v>8.02</v>
      </c>
      <c r="AC787" s="62" t="n">
        <v>22</v>
      </c>
      <c r="AD787" s="62" t="n">
        <v>53.2</v>
      </c>
      <c r="AE787" s="62" t="n">
        <f aca="false">AD787*0.7</f>
        <v>37.24</v>
      </c>
      <c r="AF787" s="62"/>
      <c r="AG787" s="58" t="n">
        <v>0</v>
      </c>
      <c r="AH787" s="62"/>
      <c r="AI787" s="58" t="n">
        <v>8.02</v>
      </c>
      <c r="AJ787" s="62" t="n">
        <v>22</v>
      </c>
      <c r="AK787" s="62" t="n">
        <v>53.2</v>
      </c>
      <c r="AL787" s="62" t="n">
        <f aca="false">AK787*0.7</f>
        <v>37.24</v>
      </c>
      <c r="AM787" s="62"/>
      <c r="AN787" s="58" t="n">
        <v>0</v>
      </c>
      <c r="AO787" s="58" t="n">
        <v>6.75</v>
      </c>
      <c r="AP787" s="62" t="n">
        <v>22.6</v>
      </c>
      <c r="AQ787" s="62" t="n">
        <v>458</v>
      </c>
      <c r="AR787" s="58" t="n">
        <f aca="false">AQ787*0.55</f>
        <v>251.9</v>
      </c>
      <c r="AS787" s="58" t="n">
        <v>0</v>
      </c>
      <c r="AT787" s="58" t="n">
        <v>7.98</v>
      </c>
      <c r="AU787" s="62" t="n">
        <v>21.8</v>
      </c>
      <c r="AV787" s="62" t="n">
        <v>598</v>
      </c>
      <c r="AW787" s="58" t="n">
        <f aca="false">AV787*0.55</f>
        <v>328.9</v>
      </c>
      <c r="AX787" s="62" t="n">
        <v>1</v>
      </c>
      <c r="AY787" s="58" t="n">
        <v>0</v>
      </c>
    </row>
    <row r="788" customFormat="false" ht="15" hidden="false" customHeight="false" outlineLevel="0" collapsed="false">
      <c r="A788" s="68" t="s">
        <v>214</v>
      </c>
      <c r="B788" s="2" t="s">
        <v>201</v>
      </c>
      <c r="C788" s="69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0"/>
      <c r="AR788" s="70"/>
      <c r="AS788" s="70"/>
      <c r="AT788" s="70"/>
      <c r="AU788" s="70"/>
      <c r="AV788" s="70"/>
      <c r="AW788" s="70"/>
      <c r="AX788" s="70"/>
      <c r="AY788" s="70"/>
    </row>
    <row r="789" customFormat="false" ht="16.15" hidden="false" customHeight="false" outlineLevel="0" collapsed="false">
      <c r="A789" s="68" t="s">
        <v>215</v>
      </c>
      <c r="B789" s="2" t="s">
        <v>201</v>
      </c>
      <c r="C789" s="57" t="n">
        <v>8.1</v>
      </c>
      <c r="D789" s="62" t="n">
        <v>22.1</v>
      </c>
      <c r="E789" s="62" t="n">
        <v>53.1</v>
      </c>
      <c r="F789" s="62" t="n">
        <f aca="false">E789*0.7</f>
        <v>37.17</v>
      </c>
      <c r="G789" s="58" t="n">
        <v>0.11</v>
      </c>
      <c r="H789" s="58" t="n">
        <v>8.08</v>
      </c>
      <c r="I789" s="62" t="n">
        <v>22</v>
      </c>
      <c r="J789" s="63"/>
      <c r="K789" s="63"/>
      <c r="L789" s="62" t="n">
        <v>0.12</v>
      </c>
      <c r="M789" s="58" t="n">
        <v>8.08</v>
      </c>
      <c r="N789" s="62" t="n">
        <v>22.1</v>
      </c>
      <c r="O789" s="63"/>
      <c r="P789" s="63"/>
      <c r="Q789" s="62" t="n">
        <v>0.14</v>
      </c>
      <c r="R789" s="58" t="n">
        <v>8.08</v>
      </c>
      <c r="S789" s="62" t="n">
        <v>22.2</v>
      </c>
      <c r="T789" s="63"/>
      <c r="U789" s="63"/>
      <c r="V789" s="58" t="n">
        <v>0</v>
      </c>
      <c r="W789" s="58" t="n">
        <v>8.06</v>
      </c>
      <c r="X789" s="62" t="n">
        <v>22.2</v>
      </c>
      <c r="Y789" s="63"/>
      <c r="Z789" s="63"/>
      <c r="AA789" s="58" t="n">
        <v>0</v>
      </c>
      <c r="AB789" s="58" t="n">
        <v>8.02</v>
      </c>
      <c r="AC789" s="62" t="n">
        <v>22.2</v>
      </c>
      <c r="AD789" s="62" t="n">
        <v>53.1</v>
      </c>
      <c r="AE789" s="62" t="n">
        <f aca="false">AD789*0.7</f>
        <v>37.17</v>
      </c>
      <c r="AF789" s="62"/>
      <c r="AG789" s="58" t="n">
        <v>0</v>
      </c>
      <c r="AH789" s="62"/>
      <c r="AI789" s="58" t="n">
        <v>8.02</v>
      </c>
      <c r="AJ789" s="62" t="n">
        <v>22.1</v>
      </c>
      <c r="AK789" s="62" t="n">
        <v>53.1</v>
      </c>
      <c r="AL789" s="62" t="n">
        <f aca="false">AK789*0.7</f>
        <v>37.17</v>
      </c>
      <c r="AM789" s="62"/>
      <c r="AN789" s="58" t="n">
        <v>0</v>
      </c>
      <c r="AO789" s="58" t="n">
        <v>6.87</v>
      </c>
      <c r="AP789" s="62" t="n">
        <v>22.9</v>
      </c>
      <c r="AQ789" s="62" t="n">
        <v>645</v>
      </c>
      <c r="AR789" s="58" t="n">
        <f aca="false">AQ789*0.55</f>
        <v>354.75</v>
      </c>
      <c r="AS789" s="58" t="n">
        <v>0</v>
      </c>
      <c r="AT789" s="58" t="n">
        <v>8.07</v>
      </c>
      <c r="AU789" s="62" t="n">
        <v>23.1</v>
      </c>
      <c r="AV789" s="62" t="n">
        <v>591</v>
      </c>
      <c r="AW789" s="58" t="n">
        <f aca="false">AV789*0.55</f>
        <v>325.05</v>
      </c>
      <c r="AX789" s="62" t="n">
        <v>1</v>
      </c>
      <c r="AY789" s="58" t="n">
        <v>0</v>
      </c>
    </row>
    <row r="790" customFormat="false" ht="16.15" hidden="false" customHeight="false" outlineLevel="0" collapsed="false">
      <c r="A790" s="68" t="s">
        <v>216</v>
      </c>
      <c r="B790" s="2" t="s">
        <v>201</v>
      </c>
      <c r="C790" s="57" t="n">
        <v>8.1</v>
      </c>
      <c r="D790" s="62" t="n">
        <v>23</v>
      </c>
      <c r="E790" s="62" t="n">
        <v>53</v>
      </c>
      <c r="F790" s="62" t="n">
        <f aca="false">E790*0.7</f>
        <v>37.1</v>
      </c>
      <c r="G790" s="58" t="n">
        <v>0.16</v>
      </c>
      <c r="H790" s="58" t="n">
        <v>8.09</v>
      </c>
      <c r="I790" s="62" t="n">
        <v>22.8</v>
      </c>
      <c r="J790" s="63"/>
      <c r="K790" s="63"/>
      <c r="L790" s="62" t="n">
        <v>0.41</v>
      </c>
      <c r="M790" s="58" t="n">
        <v>8.08</v>
      </c>
      <c r="N790" s="62" t="n">
        <v>23</v>
      </c>
      <c r="O790" s="63"/>
      <c r="P790" s="63"/>
      <c r="Q790" s="62" t="n">
        <v>0.31</v>
      </c>
      <c r="R790" s="58" t="n">
        <v>8.06</v>
      </c>
      <c r="S790" s="62" t="n">
        <v>22.8</v>
      </c>
      <c r="T790" s="63"/>
      <c r="U790" s="63"/>
      <c r="V790" s="58" t="n">
        <v>0</v>
      </c>
      <c r="W790" s="58" t="n">
        <v>8.06</v>
      </c>
      <c r="X790" s="62" t="n">
        <v>22.6</v>
      </c>
      <c r="Y790" s="63"/>
      <c r="Z790" s="63"/>
      <c r="AA790" s="58" t="n">
        <v>0</v>
      </c>
      <c r="AB790" s="58" t="n">
        <v>8.06</v>
      </c>
      <c r="AC790" s="62" t="n">
        <v>22.4</v>
      </c>
      <c r="AD790" s="62" t="n">
        <v>53</v>
      </c>
      <c r="AE790" s="62" t="n">
        <f aca="false">AD790*0.7</f>
        <v>37.1</v>
      </c>
      <c r="AF790" s="62"/>
      <c r="AG790" s="58" t="n">
        <v>0</v>
      </c>
      <c r="AH790" s="62"/>
      <c r="AI790" s="58" t="n">
        <v>8.06</v>
      </c>
      <c r="AJ790" s="62" t="n">
        <v>22.6</v>
      </c>
      <c r="AK790" s="62" t="n">
        <v>53</v>
      </c>
      <c r="AL790" s="62" t="n">
        <f aca="false">AK790*0.7</f>
        <v>37.1</v>
      </c>
      <c r="AM790" s="62"/>
      <c r="AN790" s="58" t="n">
        <v>0</v>
      </c>
      <c r="AO790" s="58" t="n">
        <v>6.65</v>
      </c>
      <c r="AP790" s="62" t="n">
        <v>22.4</v>
      </c>
      <c r="AQ790" s="62" t="n">
        <v>416</v>
      </c>
      <c r="AR790" s="58" t="n">
        <f aca="false">AQ790*0.55</f>
        <v>228.8</v>
      </c>
      <c r="AS790" s="58" t="n">
        <v>0</v>
      </c>
      <c r="AT790" s="58" t="n">
        <v>8.08</v>
      </c>
      <c r="AU790" s="62" t="n">
        <v>22.3</v>
      </c>
      <c r="AV790" s="62" t="n">
        <v>591</v>
      </c>
      <c r="AW790" s="58" t="n">
        <f aca="false">AV790*0.55</f>
        <v>325.05</v>
      </c>
      <c r="AX790" s="62" t="n">
        <v>1</v>
      </c>
      <c r="AY790" s="58" t="n">
        <v>0</v>
      </c>
    </row>
    <row r="791" customFormat="false" ht="16.15" hidden="false" customHeight="false" outlineLevel="0" collapsed="false">
      <c r="A791" s="68" t="s">
        <v>217</v>
      </c>
      <c r="B791" s="2" t="s">
        <v>201</v>
      </c>
      <c r="C791" s="57" t="n">
        <v>8.17</v>
      </c>
      <c r="D791" s="62" t="n">
        <v>24.5</v>
      </c>
      <c r="E791" s="62" t="n">
        <v>53.1</v>
      </c>
      <c r="F791" s="62" t="n">
        <f aca="false">E791*0.7</f>
        <v>37.17</v>
      </c>
      <c r="G791" s="58" t="n">
        <v>0.01</v>
      </c>
      <c r="H791" s="58" t="n">
        <v>8.16</v>
      </c>
      <c r="I791" s="62" t="n">
        <v>21.9</v>
      </c>
      <c r="J791" s="63"/>
      <c r="K791" s="63"/>
      <c r="L791" s="62" t="n">
        <v>0.53</v>
      </c>
      <c r="M791" s="58" t="n">
        <v>8.16</v>
      </c>
      <c r="N791" s="62" t="n">
        <v>21.9</v>
      </c>
      <c r="O791" s="63"/>
      <c r="P791" s="63"/>
      <c r="Q791" s="62" t="n">
        <v>0.39</v>
      </c>
      <c r="R791" s="58" t="n">
        <v>8.14</v>
      </c>
      <c r="S791" s="62" t="n">
        <v>21.8</v>
      </c>
      <c r="T791" s="63"/>
      <c r="U791" s="63"/>
      <c r="V791" s="58" t="n">
        <v>0</v>
      </c>
      <c r="W791" s="58" t="n">
        <v>8.14</v>
      </c>
      <c r="X791" s="62" t="n">
        <v>21.9</v>
      </c>
      <c r="Y791" s="63"/>
      <c r="Z791" s="63"/>
      <c r="AA791" s="58" t="n">
        <v>0</v>
      </c>
      <c r="AB791" s="58" t="n">
        <v>8.12</v>
      </c>
      <c r="AC791" s="62" t="n">
        <v>21.9</v>
      </c>
      <c r="AD791" s="62" t="n">
        <v>53.1</v>
      </c>
      <c r="AE791" s="62" t="n">
        <f aca="false">AD791*0.7</f>
        <v>37.17</v>
      </c>
      <c r="AF791" s="62"/>
      <c r="AG791" s="58" t="n">
        <v>0</v>
      </c>
      <c r="AH791" s="62"/>
      <c r="AI791" s="58" t="n">
        <v>8.12</v>
      </c>
      <c r="AJ791" s="62" t="n">
        <v>21.9</v>
      </c>
      <c r="AK791" s="62" t="n">
        <v>53.1</v>
      </c>
      <c r="AL791" s="62" t="n">
        <f aca="false">AK791*0.7</f>
        <v>37.17</v>
      </c>
      <c r="AM791" s="62"/>
      <c r="AN791" s="58" t="n">
        <v>0</v>
      </c>
      <c r="AO791" s="58" t="n">
        <v>6.69</v>
      </c>
      <c r="AP791" s="62" t="n">
        <v>22.3</v>
      </c>
      <c r="AQ791" s="62" t="n">
        <v>494</v>
      </c>
      <c r="AR791" s="58" t="n">
        <f aca="false">AQ791*0.55</f>
        <v>271.7</v>
      </c>
      <c r="AS791" s="58" t="n">
        <v>0</v>
      </c>
      <c r="AT791" s="58" t="n">
        <v>8.02</v>
      </c>
      <c r="AU791" s="62" t="n">
        <v>22</v>
      </c>
      <c r="AV791" s="62" t="n">
        <v>561</v>
      </c>
      <c r="AW791" s="58" t="n">
        <f aca="false">AV791*0.55</f>
        <v>308.55</v>
      </c>
      <c r="AX791" s="62" t="n">
        <v>0.9</v>
      </c>
      <c r="AY791" s="58" t="n">
        <v>0</v>
      </c>
    </row>
    <row r="792" customFormat="false" ht="16.15" hidden="false" customHeight="false" outlineLevel="0" collapsed="false">
      <c r="A792" s="68" t="s">
        <v>218</v>
      </c>
      <c r="B792" s="2" t="s">
        <v>201</v>
      </c>
      <c r="C792" s="57" t="n">
        <v>8.19</v>
      </c>
      <c r="D792" s="62" t="n">
        <v>24.2</v>
      </c>
      <c r="E792" s="62" t="n">
        <v>53</v>
      </c>
      <c r="F792" s="62" t="n">
        <f aca="false">E792*0.7</f>
        <v>37.1</v>
      </c>
      <c r="G792" s="58" t="n">
        <v>0.01</v>
      </c>
      <c r="H792" s="58" t="n">
        <v>8.17</v>
      </c>
      <c r="I792" s="62" t="n">
        <v>22</v>
      </c>
      <c r="J792" s="63"/>
      <c r="K792" s="63"/>
      <c r="L792" s="62" t="n">
        <v>1.02</v>
      </c>
      <c r="M792" s="58" t="n">
        <v>8.16</v>
      </c>
      <c r="N792" s="62" t="n">
        <v>22</v>
      </c>
      <c r="O792" s="63"/>
      <c r="P792" s="63"/>
      <c r="Q792" s="62" t="n">
        <v>0.98</v>
      </c>
      <c r="R792" s="58" t="n">
        <v>8.14</v>
      </c>
      <c r="S792" s="62" t="n">
        <v>22</v>
      </c>
      <c r="T792" s="63"/>
      <c r="U792" s="63"/>
      <c r="V792" s="58" t="n">
        <v>0</v>
      </c>
      <c r="W792" s="58" t="n">
        <v>8.14</v>
      </c>
      <c r="X792" s="62" t="n">
        <v>22</v>
      </c>
      <c r="Y792" s="63"/>
      <c r="Z792" s="63"/>
      <c r="AA792" s="58" t="n">
        <v>0</v>
      </c>
      <c r="AB792" s="58" t="n">
        <v>8.13</v>
      </c>
      <c r="AC792" s="62" t="n">
        <v>21.7</v>
      </c>
      <c r="AD792" s="62" t="n">
        <v>53</v>
      </c>
      <c r="AE792" s="62" t="n">
        <f aca="false">AD792*0.7</f>
        <v>37.1</v>
      </c>
      <c r="AF792" s="62"/>
      <c r="AG792" s="58" t="n">
        <v>0</v>
      </c>
      <c r="AH792" s="21"/>
      <c r="AI792" s="58" t="n">
        <v>8.13</v>
      </c>
      <c r="AJ792" s="62" t="n">
        <v>21.7</v>
      </c>
      <c r="AK792" s="62" t="n">
        <v>53</v>
      </c>
      <c r="AL792" s="62" t="n">
        <f aca="false">AK792*0.7</f>
        <v>37.1</v>
      </c>
      <c r="AM792" s="62"/>
      <c r="AN792" s="58" t="n">
        <v>0</v>
      </c>
      <c r="AO792" s="58" t="n">
        <v>6.64</v>
      </c>
      <c r="AP792" s="62" t="n">
        <v>22.3</v>
      </c>
      <c r="AQ792" s="62" t="n">
        <v>643</v>
      </c>
      <c r="AR792" s="58" t="n">
        <f aca="false">AQ792*0.55</f>
        <v>353.65</v>
      </c>
      <c r="AS792" s="58" t="n">
        <v>0</v>
      </c>
      <c r="AT792" s="58" t="n">
        <v>8.09</v>
      </c>
      <c r="AU792" s="62" t="n">
        <v>22.7</v>
      </c>
      <c r="AV792" s="62" t="n">
        <v>550</v>
      </c>
      <c r="AW792" s="58" t="n">
        <f aca="false">AV792*0.55</f>
        <v>302.5</v>
      </c>
      <c r="AX792" s="62" t="n">
        <v>1</v>
      </c>
      <c r="AY792" s="58" t="n">
        <v>0</v>
      </c>
    </row>
    <row r="793" customFormat="false" ht="16.15" hidden="false" customHeight="false" outlineLevel="0" collapsed="false">
      <c r="A793" s="68" t="s">
        <v>219</v>
      </c>
      <c r="B793" s="2" t="s">
        <v>201</v>
      </c>
      <c r="C793" s="57" t="n">
        <v>8.14</v>
      </c>
      <c r="D793" s="62" t="n">
        <v>24.4</v>
      </c>
      <c r="E793" s="62" t="n">
        <v>53.3</v>
      </c>
      <c r="F793" s="62" t="n">
        <f aca="false">E793*0.7</f>
        <v>37.31</v>
      </c>
      <c r="G793" s="58" t="n">
        <v>0.02</v>
      </c>
      <c r="H793" s="58" t="n">
        <v>8.13</v>
      </c>
      <c r="I793" s="62" t="n">
        <v>22.4</v>
      </c>
      <c r="J793" s="63"/>
      <c r="K793" s="63"/>
      <c r="L793" s="62" t="n">
        <v>0.75</v>
      </c>
      <c r="M793" s="58" t="n">
        <v>8.13</v>
      </c>
      <c r="N793" s="62" t="n">
        <v>22.4</v>
      </c>
      <c r="O793" s="63"/>
      <c r="P793" s="63"/>
      <c r="Q793" s="62" t="n">
        <v>0.83</v>
      </c>
      <c r="R793" s="58" t="n">
        <v>8.11</v>
      </c>
      <c r="S793" s="62" t="n">
        <v>22.2</v>
      </c>
      <c r="T793" s="63"/>
      <c r="U793" s="63"/>
      <c r="V793" s="58" t="n">
        <v>0</v>
      </c>
      <c r="W793" s="58" t="n">
        <v>8.11</v>
      </c>
      <c r="X793" s="62" t="n">
        <v>22.2</v>
      </c>
      <c r="Y793" s="63"/>
      <c r="Z793" s="63"/>
      <c r="AA793" s="58" t="n">
        <v>0</v>
      </c>
      <c r="AB793" s="58" t="n">
        <v>8.09</v>
      </c>
      <c r="AC793" s="62" t="n">
        <v>21.9</v>
      </c>
      <c r="AD793" s="62" t="n">
        <v>53.3</v>
      </c>
      <c r="AE793" s="62" t="n">
        <f aca="false">AD793*0.7</f>
        <v>37.31</v>
      </c>
      <c r="AF793" s="62"/>
      <c r="AG793" s="58" t="n">
        <v>0</v>
      </c>
      <c r="AH793" s="62"/>
      <c r="AI793" s="58" t="n">
        <v>8.09</v>
      </c>
      <c r="AJ793" s="62" t="n">
        <v>21.9</v>
      </c>
      <c r="AK793" s="62" t="n">
        <v>53.3</v>
      </c>
      <c r="AL793" s="62" t="n">
        <f aca="false">AK793*0.7</f>
        <v>37.31</v>
      </c>
      <c r="AM793" s="62"/>
      <c r="AN793" s="58" t="n">
        <v>0</v>
      </c>
      <c r="AO793" s="58" t="n">
        <v>6.65</v>
      </c>
      <c r="AP793" s="62" t="n">
        <v>22.2</v>
      </c>
      <c r="AQ793" s="62" t="n">
        <v>471</v>
      </c>
      <c r="AR793" s="58" t="n">
        <f aca="false">AQ793*0.55</f>
        <v>259.05</v>
      </c>
      <c r="AS793" s="58" t="n">
        <v>0</v>
      </c>
      <c r="AT793" s="58" t="n">
        <v>8.03</v>
      </c>
      <c r="AU793" s="62" t="n">
        <v>23</v>
      </c>
      <c r="AV793" s="62" t="n">
        <v>551</v>
      </c>
      <c r="AW793" s="58" t="n">
        <f aca="false">AV793*0.55</f>
        <v>303.05</v>
      </c>
      <c r="AX793" s="62" t="n">
        <v>1</v>
      </c>
      <c r="AY793" s="58" t="n">
        <v>0</v>
      </c>
    </row>
    <row r="794" customFormat="false" ht="16.15" hidden="false" customHeight="false" outlineLevel="0" collapsed="false">
      <c r="A794" s="68" t="s">
        <v>220</v>
      </c>
      <c r="B794" s="2" t="s">
        <v>201</v>
      </c>
      <c r="C794" s="57" t="n">
        <v>8.16</v>
      </c>
      <c r="D794" s="62" t="n">
        <v>23.5</v>
      </c>
      <c r="E794" s="62" t="n">
        <v>53.3</v>
      </c>
      <c r="F794" s="62" t="n">
        <f aca="false">E794*0.7</f>
        <v>37.31</v>
      </c>
      <c r="G794" s="58"/>
      <c r="H794" s="58" t="n">
        <v>8.14</v>
      </c>
      <c r="I794" s="62" t="n">
        <v>21.9</v>
      </c>
      <c r="J794" s="63"/>
      <c r="K794" s="63"/>
      <c r="L794" s="62"/>
      <c r="M794" s="58" t="n">
        <v>8.14</v>
      </c>
      <c r="N794" s="62" t="n">
        <v>21.9</v>
      </c>
      <c r="O794" s="63"/>
      <c r="P794" s="63"/>
      <c r="Q794" s="62"/>
      <c r="R794" s="58" t="n">
        <v>8.13</v>
      </c>
      <c r="S794" s="62" t="n">
        <v>21.9</v>
      </c>
      <c r="T794" s="63"/>
      <c r="U794" s="63"/>
      <c r="V794" s="58" t="n">
        <v>0</v>
      </c>
      <c r="W794" s="58" t="n">
        <v>8.13</v>
      </c>
      <c r="X794" s="62" t="n">
        <v>21.9</v>
      </c>
      <c r="Y794" s="63"/>
      <c r="Z794" s="63"/>
      <c r="AA794" s="58" t="n">
        <v>0</v>
      </c>
      <c r="AB794" s="58" t="n">
        <v>8.11</v>
      </c>
      <c r="AC794" s="62" t="n">
        <v>21.7</v>
      </c>
      <c r="AD794" s="62" t="n">
        <v>53.1</v>
      </c>
      <c r="AE794" s="62" t="n">
        <f aca="false">AD794*0.7</f>
        <v>37.17</v>
      </c>
      <c r="AF794" s="62"/>
      <c r="AG794" s="58" t="n">
        <v>0</v>
      </c>
      <c r="AH794" s="62"/>
      <c r="AI794" s="58" t="n">
        <v>8.4</v>
      </c>
      <c r="AJ794" s="62" t="n">
        <v>21.8</v>
      </c>
      <c r="AK794" s="62" t="n">
        <v>53.1</v>
      </c>
      <c r="AL794" s="62" t="n">
        <f aca="false">AK794*0.7</f>
        <v>37.17</v>
      </c>
      <c r="AM794" s="62"/>
      <c r="AN794" s="58" t="n">
        <v>0</v>
      </c>
      <c r="AO794" s="58" t="n">
        <v>6.62</v>
      </c>
      <c r="AP794" s="62" t="n">
        <v>22.2</v>
      </c>
      <c r="AQ794" s="62" t="n">
        <v>361</v>
      </c>
      <c r="AR794" s="58" t="n">
        <f aca="false">AQ794*0.55</f>
        <v>198.55</v>
      </c>
      <c r="AS794" s="58" t="n">
        <v>0</v>
      </c>
      <c r="AT794" s="58" t="n">
        <v>7.99</v>
      </c>
      <c r="AU794" s="62" t="n">
        <v>22.5</v>
      </c>
      <c r="AV794" s="62" t="n">
        <v>553</v>
      </c>
      <c r="AW794" s="58" t="n">
        <f aca="false">AV794*0.55</f>
        <v>304.15</v>
      </c>
      <c r="AX794" s="62" t="n">
        <v>1</v>
      </c>
      <c r="AY794" s="58" t="n">
        <v>0</v>
      </c>
    </row>
    <row r="795" customFormat="false" ht="16.15" hidden="false" customHeight="false" outlineLevel="0" collapsed="false">
      <c r="A795" s="66" t="n">
        <v>45302</v>
      </c>
      <c r="B795" s="2" t="s">
        <v>201</v>
      </c>
      <c r="C795" s="57" t="n">
        <v>8.16</v>
      </c>
      <c r="D795" s="62" t="n">
        <v>23.8</v>
      </c>
      <c r="E795" s="62" t="n">
        <v>53</v>
      </c>
      <c r="F795" s="62" t="n">
        <f aca="false">E795*0.7</f>
        <v>37.1</v>
      </c>
      <c r="G795" s="62" t="n">
        <v>0.17</v>
      </c>
      <c r="H795" s="58" t="n">
        <v>8.16</v>
      </c>
      <c r="I795" s="62" t="n">
        <v>22.5</v>
      </c>
      <c r="J795" s="63"/>
      <c r="K795" s="63"/>
      <c r="L795" s="62" t="n">
        <v>0.2</v>
      </c>
      <c r="M795" s="58" t="n">
        <v>8.15</v>
      </c>
      <c r="N795" s="62" t="n">
        <v>22.5</v>
      </c>
      <c r="O795" s="63"/>
      <c r="P795" s="63"/>
      <c r="Q795" s="62" t="n">
        <v>0.18</v>
      </c>
      <c r="R795" s="58" t="n">
        <v>8.11</v>
      </c>
      <c r="S795" s="62" t="n">
        <v>22.4</v>
      </c>
      <c r="T795" s="63"/>
      <c r="U795" s="63"/>
      <c r="V795" s="58" t="n">
        <v>0</v>
      </c>
      <c r="W795" s="58" t="n">
        <v>8.14</v>
      </c>
      <c r="X795" s="62" t="n">
        <v>22.4</v>
      </c>
      <c r="Y795" s="63"/>
      <c r="Z795" s="63"/>
      <c r="AA795" s="58" t="n">
        <v>0</v>
      </c>
      <c r="AB795" s="58" t="n">
        <v>8.13</v>
      </c>
      <c r="AC795" s="62" t="n">
        <v>22.3</v>
      </c>
      <c r="AD795" s="62" t="n">
        <v>53</v>
      </c>
      <c r="AE795" s="62" t="n">
        <f aca="false">AD795*0.7</f>
        <v>37.1</v>
      </c>
      <c r="AF795" s="62"/>
      <c r="AG795" s="58" t="n">
        <v>0</v>
      </c>
      <c r="AH795" s="62"/>
      <c r="AI795" s="58" t="n">
        <v>8.12</v>
      </c>
      <c r="AJ795" s="62" t="n">
        <v>22.3</v>
      </c>
      <c r="AK795" s="62" t="n">
        <v>53</v>
      </c>
      <c r="AL795" s="62" t="n">
        <f aca="false">AK795*0.7</f>
        <v>37.1</v>
      </c>
      <c r="AM795" s="62"/>
      <c r="AN795" s="58" t="n">
        <v>0</v>
      </c>
      <c r="AO795" s="58" t="n">
        <v>6.72</v>
      </c>
      <c r="AP795" s="62" t="n">
        <v>22.2</v>
      </c>
      <c r="AQ795" s="62" t="n">
        <v>327</v>
      </c>
      <c r="AR795" s="62" t="n">
        <f aca="false">0.55*AQ795</f>
        <v>179.85</v>
      </c>
      <c r="AS795" s="58" t="n">
        <v>0</v>
      </c>
      <c r="AT795" s="58" t="n">
        <v>8.02</v>
      </c>
      <c r="AU795" s="62" t="n">
        <v>22.5</v>
      </c>
      <c r="AV795" s="62" t="n">
        <v>553</v>
      </c>
      <c r="AW795" s="62" t="n">
        <f aca="false">0.55*AV795</f>
        <v>304.15</v>
      </c>
      <c r="AX795" s="62" t="n">
        <v>1</v>
      </c>
      <c r="AY795" s="58" t="n">
        <v>0</v>
      </c>
    </row>
    <row r="796" customFormat="false" ht="16.15" hidden="false" customHeight="false" outlineLevel="0" collapsed="false">
      <c r="A796" s="66" t="n">
        <v>45333</v>
      </c>
      <c r="B796" s="2" t="s">
        <v>201</v>
      </c>
      <c r="C796" s="57" t="n">
        <v>8.19</v>
      </c>
      <c r="D796" s="62" t="n">
        <v>23.5</v>
      </c>
      <c r="E796" s="62" t="n">
        <v>53.1</v>
      </c>
      <c r="F796" s="62" t="n">
        <f aca="false">E796*0.7</f>
        <v>37.17</v>
      </c>
      <c r="G796" s="62" t="n">
        <v>0.18</v>
      </c>
      <c r="H796" s="58" t="n">
        <v>8.18</v>
      </c>
      <c r="I796" s="62" t="n">
        <v>22.5</v>
      </c>
      <c r="J796" s="63"/>
      <c r="K796" s="63"/>
      <c r="L796" s="62" t="n">
        <v>0.52</v>
      </c>
      <c r="M796" s="58" t="n">
        <v>8.18</v>
      </c>
      <c r="N796" s="62" t="n">
        <v>22.5</v>
      </c>
      <c r="O796" s="63"/>
      <c r="P796" s="63"/>
      <c r="Q796" s="62" t="n">
        <v>0.41</v>
      </c>
      <c r="R796" s="58" t="n">
        <v>8.15</v>
      </c>
      <c r="S796" s="62" t="n">
        <v>22.4</v>
      </c>
      <c r="T796" s="63"/>
      <c r="U796" s="63"/>
      <c r="V796" s="58" t="n">
        <v>0</v>
      </c>
      <c r="W796" s="58" t="n">
        <v>8.15</v>
      </c>
      <c r="X796" s="62" t="n">
        <v>22.5</v>
      </c>
      <c r="Y796" s="63"/>
      <c r="Z796" s="63"/>
      <c r="AA796" s="58" t="n">
        <v>0</v>
      </c>
      <c r="AB796" s="58" t="n">
        <v>8.16</v>
      </c>
      <c r="AC796" s="62" t="n">
        <v>22.2</v>
      </c>
      <c r="AD796" s="62" t="n">
        <v>53.1</v>
      </c>
      <c r="AE796" s="62" t="n">
        <f aca="false">AD796*0.7</f>
        <v>37.17</v>
      </c>
      <c r="AF796" s="62"/>
      <c r="AG796" s="58" t="n">
        <v>0</v>
      </c>
      <c r="AH796" s="62"/>
      <c r="AI796" s="58" t="n">
        <v>8.15</v>
      </c>
      <c r="AJ796" s="62" t="n">
        <v>22.3</v>
      </c>
      <c r="AK796" s="62" t="n">
        <v>53.1</v>
      </c>
      <c r="AL796" s="62" t="n">
        <f aca="false">AK796*0.7</f>
        <v>37.17</v>
      </c>
      <c r="AM796" s="62"/>
      <c r="AN796" s="58" t="n">
        <v>0</v>
      </c>
      <c r="AO796" s="58" t="n">
        <v>6.62</v>
      </c>
      <c r="AP796" s="62" t="n">
        <v>22.6</v>
      </c>
      <c r="AQ796" s="62" t="n">
        <v>423</v>
      </c>
      <c r="AR796" s="62" t="n">
        <f aca="false">0.55*AQ796</f>
        <v>232.65</v>
      </c>
      <c r="AS796" s="58" t="n">
        <v>0</v>
      </c>
      <c r="AT796" s="58" t="n">
        <v>8.05</v>
      </c>
      <c r="AU796" s="62" t="n">
        <v>22.9</v>
      </c>
      <c r="AV796" s="62" t="n">
        <v>542</v>
      </c>
      <c r="AW796" s="62" t="n">
        <f aca="false">0.55*AV796</f>
        <v>298.1</v>
      </c>
      <c r="AX796" s="62" t="n">
        <v>1</v>
      </c>
      <c r="AY796" s="58" t="n">
        <v>0</v>
      </c>
    </row>
    <row r="797" customFormat="false" ht="16.15" hidden="false" customHeight="false" outlineLevel="0" collapsed="false">
      <c r="A797" s="66" t="n">
        <v>45362</v>
      </c>
      <c r="B797" s="2" t="s">
        <v>201</v>
      </c>
      <c r="C797" s="57" t="n">
        <v>8.13</v>
      </c>
      <c r="D797" s="62" t="n">
        <v>23.7</v>
      </c>
      <c r="E797" s="62" t="n">
        <v>53.2</v>
      </c>
      <c r="F797" s="62" t="n">
        <f aca="false">E797*0.7</f>
        <v>37.24</v>
      </c>
      <c r="G797" s="62" t="n">
        <v>0.05</v>
      </c>
      <c r="H797" s="58" t="n">
        <v>8.12</v>
      </c>
      <c r="I797" s="62" t="n">
        <v>22.2</v>
      </c>
      <c r="J797" s="63"/>
      <c r="K797" s="63"/>
      <c r="L797" s="62" t="n">
        <v>0.22</v>
      </c>
      <c r="M797" s="58" t="n">
        <v>8.12</v>
      </c>
      <c r="N797" s="62" t="n">
        <v>22.2</v>
      </c>
      <c r="O797" s="63"/>
      <c r="P797" s="63"/>
      <c r="Q797" s="62" t="n">
        <v>0.17</v>
      </c>
      <c r="R797" s="58" t="n">
        <v>8.1</v>
      </c>
      <c r="S797" s="62" t="n">
        <v>22</v>
      </c>
      <c r="T797" s="63"/>
      <c r="U797" s="63"/>
      <c r="V797" s="58" t="n">
        <v>0</v>
      </c>
      <c r="W797" s="58" t="n">
        <v>8.1</v>
      </c>
      <c r="X797" s="62" t="n">
        <v>22</v>
      </c>
      <c r="Y797" s="63"/>
      <c r="Z797" s="63"/>
      <c r="AA797" s="58" t="n">
        <v>0</v>
      </c>
      <c r="AB797" s="58" t="n">
        <v>8.11</v>
      </c>
      <c r="AC797" s="62" t="n">
        <v>21.5</v>
      </c>
      <c r="AD797" s="62" t="n">
        <v>53.2</v>
      </c>
      <c r="AE797" s="62" t="n">
        <f aca="false">AD797*0.7</f>
        <v>37.24</v>
      </c>
      <c r="AF797" s="62"/>
      <c r="AG797" s="58" t="n">
        <v>0</v>
      </c>
      <c r="AH797" s="62"/>
      <c r="AI797" s="58" t="n">
        <v>8.11</v>
      </c>
      <c r="AJ797" s="62" t="n">
        <v>21.5</v>
      </c>
      <c r="AK797" s="62" t="n">
        <v>53.2</v>
      </c>
      <c r="AL797" s="62" t="n">
        <f aca="false">AK797*0.7</f>
        <v>37.24</v>
      </c>
      <c r="AM797" s="62"/>
      <c r="AN797" s="58" t="n">
        <v>0</v>
      </c>
      <c r="AO797" s="58" t="n">
        <v>6.65</v>
      </c>
      <c r="AP797" s="62" t="n">
        <v>22.3</v>
      </c>
      <c r="AQ797" s="62" t="n">
        <v>410</v>
      </c>
      <c r="AR797" s="62" t="n">
        <f aca="false">0.55*AQ797</f>
        <v>225.5</v>
      </c>
      <c r="AS797" s="58" t="n">
        <v>0</v>
      </c>
      <c r="AT797" s="58" t="n">
        <v>8.06</v>
      </c>
      <c r="AU797" s="62" t="n">
        <v>22.7</v>
      </c>
      <c r="AV797" s="62" t="n">
        <v>516</v>
      </c>
      <c r="AW797" s="62" t="n">
        <f aca="false">0.55*AV797</f>
        <v>283.8</v>
      </c>
      <c r="AX797" s="62" t="n">
        <v>1</v>
      </c>
      <c r="AY797" s="58" t="n">
        <v>0</v>
      </c>
    </row>
    <row r="798" customFormat="false" ht="16.15" hidden="false" customHeight="false" outlineLevel="0" collapsed="false">
      <c r="A798" s="66" t="n">
        <v>45393</v>
      </c>
      <c r="B798" s="2" t="s">
        <v>201</v>
      </c>
      <c r="C798" s="57" t="n">
        <v>8.02</v>
      </c>
      <c r="D798" s="62" t="n">
        <v>24</v>
      </c>
      <c r="E798" s="62" t="n">
        <v>53.3</v>
      </c>
      <c r="F798" s="62" t="n">
        <f aca="false">E798*0.7</f>
        <v>37.31</v>
      </c>
      <c r="G798" s="62" t="n">
        <v>0.01</v>
      </c>
      <c r="H798" s="58" t="n">
        <v>8</v>
      </c>
      <c r="I798" s="62" t="n">
        <v>22.6</v>
      </c>
      <c r="J798" s="63"/>
      <c r="K798" s="63"/>
      <c r="L798" s="62" t="n">
        <v>0.24</v>
      </c>
      <c r="M798" s="58" t="n">
        <v>8</v>
      </c>
      <c r="N798" s="62" t="n">
        <v>22.6</v>
      </c>
      <c r="O798" s="63"/>
      <c r="P798" s="63"/>
      <c r="Q798" s="62"/>
      <c r="R798" s="58" t="n">
        <v>7.99</v>
      </c>
      <c r="S798" s="62" t="n">
        <v>22.5</v>
      </c>
      <c r="T798" s="63"/>
      <c r="U798" s="63"/>
      <c r="V798" s="58" t="n">
        <v>0</v>
      </c>
      <c r="W798" s="58" t="n">
        <v>7.99</v>
      </c>
      <c r="X798" s="62" t="n">
        <v>22.5</v>
      </c>
      <c r="Y798" s="63"/>
      <c r="Z798" s="63"/>
      <c r="AA798" s="58" t="n">
        <v>0</v>
      </c>
      <c r="AB798" s="58" t="n">
        <v>7.97</v>
      </c>
      <c r="AC798" s="62" t="n">
        <v>22.3</v>
      </c>
      <c r="AD798" s="62" t="n">
        <v>53.1</v>
      </c>
      <c r="AE798" s="62" t="n">
        <f aca="false">AD798*0.7</f>
        <v>37.17</v>
      </c>
      <c r="AF798" s="62"/>
      <c r="AG798" s="58" t="n">
        <v>0</v>
      </c>
      <c r="AH798" s="62"/>
      <c r="AI798" s="58" t="n">
        <v>7.97</v>
      </c>
      <c r="AJ798" s="62" t="n">
        <v>22.3</v>
      </c>
      <c r="AK798" s="62" t="n">
        <v>53.1</v>
      </c>
      <c r="AL798" s="62" t="n">
        <f aca="false">AK798*0.7</f>
        <v>37.17</v>
      </c>
      <c r="AM798" s="62"/>
      <c r="AN798" s="58" t="n">
        <v>0</v>
      </c>
      <c r="AO798" s="58" t="n">
        <v>6.44</v>
      </c>
      <c r="AP798" s="62" t="n">
        <v>22.4</v>
      </c>
      <c r="AQ798" s="62" t="n">
        <v>449</v>
      </c>
      <c r="AR798" s="62" t="n">
        <f aca="false">0.55*AQ798</f>
        <v>246.95</v>
      </c>
      <c r="AS798" s="58" t="n">
        <v>0</v>
      </c>
      <c r="AT798" s="58" t="n">
        <v>8.17</v>
      </c>
      <c r="AU798" s="62" t="n">
        <v>22.4</v>
      </c>
      <c r="AV798" s="62" t="n">
        <v>520</v>
      </c>
      <c r="AW798" s="62" t="n">
        <f aca="false">0.55*AV798</f>
        <v>286</v>
      </c>
      <c r="AX798" s="62" t="n">
        <v>1</v>
      </c>
      <c r="AY798" s="58" t="n">
        <v>0</v>
      </c>
    </row>
    <row r="799" customFormat="false" ht="16.15" hidden="false" customHeight="false" outlineLevel="0" collapsed="false">
      <c r="A799" s="66" t="n">
        <v>45423</v>
      </c>
      <c r="B799" s="2" t="s">
        <v>201</v>
      </c>
      <c r="C799" s="57" t="n">
        <v>8</v>
      </c>
      <c r="D799" s="62" t="n">
        <v>23.5</v>
      </c>
      <c r="E799" s="62" t="n">
        <v>53.3</v>
      </c>
      <c r="F799" s="62" t="n">
        <f aca="false">E799*0.7</f>
        <v>37.31</v>
      </c>
      <c r="G799" s="62" t="n">
        <v>0.01</v>
      </c>
      <c r="H799" s="58" t="n">
        <v>7.97</v>
      </c>
      <c r="I799" s="62" t="n">
        <v>22.1</v>
      </c>
      <c r="J799" s="63"/>
      <c r="K799" s="63"/>
      <c r="L799" s="62" t="n">
        <v>0.29</v>
      </c>
      <c r="M799" s="58" t="n">
        <v>7.98</v>
      </c>
      <c r="N799" s="62" t="n">
        <v>22</v>
      </c>
      <c r="O799" s="63"/>
      <c r="P799" s="63"/>
      <c r="Q799" s="62" t="n">
        <v>0.16</v>
      </c>
      <c r="R799" s="58" t="n">
        <v>7.95</v>
      </c>
      <c r="S799" s="62" t="n">
        <v>21.9</v>
      </c>
      <c r="T799" s="63"/>
      <c r="U799" s="63"/>
      <c r="V799" s="58" t="n">
        <v>0</v>
      </c>
      <c r="W799" s="58" t="n">
        <v>7.94</v>
      </c>
      <c r="X799" s="62" t="n">
        <v>21.9</v>
      </c>
      <c r="Y799" s="63"/>
      <c r="Z799" s="63"/>
      <c r="AA799" s="58" t="n">
        <v>0</v>
      </c>
      <c r="AB799" s="58" t="n">
        <v>7.92</v>
      </c>
      <c r="AC799" s="62" t="n">
        <v>21.8</v>
      </c>
      <c r="AD799" s="62" t="n">
        <v>53.2</v>
      </c>
      <c r="AE799" s="62" t="n">
        <f aca="false">AD799*0.7</f>
        <v>37.24</v>
      </c>
      <c r="AF799" s="62"/>
      <c r="AG799" s="58" t="n">
        <v>0</v>
      </c>
      <c r="AH799" s="62"/>
      <c r="AI799" s="58" t="n">
        <v>7.92</v>
      </c>
      <c r="AJ799" s="62" t="n">
        <v>21.8</v>
      </c>
      <c r="AK799" s="62" t="n">
        <v>53.2</v>
      </c>
      <c r="AL799" s="62" t="n">
        <f aca="false">AK799*0.7</f>
        <v>37.24</v>
      </c>
      <c r="AM799" s="62"/>
      <c r="AN799" s="58" t="n">
        <v>0</v>
      </c>
      <c r="AO799" s="58" t="n">
        <v>6.49</v>
      </c>
      <c r="AP799" s="62" t="n">
        <v>22.3</v>
      </c>
      <c r="AQ799" s="62" t="n">
        <v>467</v>
      </c>
      <c r="AR799" s="62" t="n">
        <f aca="false">0.55*AQ799</f>
        <v>256.85</v>
      </c>
      <c r="AS799" s="58" t="n">
        <v>0</v>
      </c>
      <c r="AT799" s="58" t="n">
        <v>8.06</v>
      </c>
      <c r="AU799" s="62" t="n">
        <v>22.5</v>
      </c>
      <c r="AV799" s="62" t="n">
        <v>515</v>
      </c>
      <c r="AW799" s="62" t="n">
        <f aca="false">0.55*AV799</f>
        <v>283.25</v>
      </c>
      <c r="AX799" s="62" t="n">
        <v>1</v>
      </c>
      <c r="AY799" s="58" t="n">
        <v>0</v>
      </c>
    </row>
    <row r="800" customFormat="false" ht="16.15" hidden="false" customHeight="false" outlineLevel="0" collapsed="false">
      <c r="A800" s="66" t="n">
        <v>45454</v>
      </c>
      <c r="B800" s="2" t="s">
        <v>201</v>
      </c>
      <c r="C800" s="57" t="n">
        <v>8.02</v>
      </c>
      <c r="D800" s="62" t="n">
        <v>22.2</v>
      </c>
      <c r="E800" s="62" t="n">
        <v>53.1</v>
      </c>
      <c r="F800" s="62" t="n">
        <f aca="false">E800*0.7</f>
        <v>37.17</v>
      </c>
      <c r="G800" s="62" t="n">
        <v>0.01</v>
      </c>
      <c r="H800" s="58" t="n">
        <v>8</v>
      </c>
      <c r="I800" s="62" t="n">
        <v>21.8</v>
      </c>
      <c r="J800" s="63"/>
      <c r="K800" s="63"/>
      <c r="L800" s="62" t="n">
        <v>0.28</v>
      </c>
      <c r="M800" s="58" t="n">
        <v>8</v>
      </c>
      <c r="N800" s="62" t="n">
        <v>21.8</v>
      </c>
      <c r="O800" s="63"/>
      <c r="P800" s="63"/>
      <c r="Q800" s="62" t="n">
        <v>0.17</v>
      </c>
      <c r="R800" s="58" t="n">
        <v>7.97</v>
      </c>
      <c r="S800" s="62" t="n">
        <v>21.7</v>
      </c>
      <c r="T800" s="63"/>
      <c r="U800" s="63"/>
      <c r="V800" s="58" t="n">
        <v>0</v>
      </c>
      <c r="W800" s="58" t="n">
        <v>7.98</v>
      </c>
      <c r="X800" s="62" t="n">
        <v>21.7</v>
      </c>
      <c r="Y800" s="63"/>
      <c r="Z800" s="63"/>
      <c r="AA800" s="58" t="n">
        <v>0</v>
      </c>
      <c r="AB800" s="58" t="n">
        <v>7.95</v>
      </c>
      <c r="AC800" s="62" t="n">
        <v>21.7</v>
      </c>
      <c r="AD800" s="62" t="n">
        <v>53.1</v>
      </c>
      <c r="AE800" s="62" t="n">
        <f aca="false">AD800*0.7</f>
        <v>37.17</v>
      </c>
      <c r="AF800" s="62"/>
      <c r="AG800" s="58" t="n">
        <v>0</v>
      </c>
      <c r="AH800" s="62"/>
      <c r="AI800" s="58" t="n">
        <v>7.95</v>
      </c>
      <c r="AJ800" s="62" t="n">
        <v>21.8</v>
      </c>
      <c r="AK800" s="62" t="n">
        <v>53.1</v>
      </c>
      <c r="AL800" s="62" t="n">
        <f aca="false">AK800*0.7</f>
        <v>37.17</v>
      </c>
      <c r="AM800" s="62"/>
      <c r="AN800" s="58" t="n">
        <v>0</v>
      </c>
      <c r="AO800" s="58" t="n">
        <v>6.45</v>
      </c>
      <c r="AP800" s="62" t="n">
        <v>22.2</v>
      </c>
      <c r="AQ800" s="62" t="n">
        <v>419</v>
      </c>
      <c r="AR800" s="62" t="n">
        <f aca="false">0.55*AQ800</f>
        <v>230.45</v>
      </c>
      <c r="AS800" s="58" t="n">
        <v>0</v>
      </c>
      <c r="AT800" s="58" t="n">
        <v>8.2</v>
      </c>
      <c r="AU800" s="62" t="n">
        <v>22.3</v>
      </c>
      <c r="AV800" s="62" t="n">
        <v>516</v>
      </c>
      <c r="AW800" s="62" t="n">
        <f aca="false">0.55*AV800</f>
        <v>283.8</v>
      </c>
      <c r="AX800" s="62" t="n">
        <v>1</v>
      </c>
      <c r="AY800" s="58" t="n">
        <v>0</v>
      </c>
    </row>
    <row r="801" customFormat="false" ht="15" hidden="false" customHeight="false" outlineLevel="0" collapsed="false">
      <c r="A801" s="66" t="n">
        <v>45484</v>
      </c>
      <c r="B801" s="2" t="s">
        <v>201</v>
      </c>
      <c r="C801" s="69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0"/>
      <c r="AR801" s="70"/>
      <c r="AS801" s="70"/>
      <c r="AT801" s="70"/>
      <c r="AU801" s="70"/>
      <c r="AV801" s="70"/>
      <c r="AW801" s="70"/>
      <c r="AX801" s="70"/>
      <c r="AY801" s="70"/>
    </row>
    <row r="802" customFormat="false" ht="16.15" hidden="false" customHeight="false" outlineLevel="0" collapsed="false">
      <c r="A802" s="66" t="n">
        <v>45515</v>
      </c>
      <c r="B802" s="2" t="s">
        <v>201</v>
      </c>
      <c r="C802" s="57" t="n">
        <v>8.06</v>
      </c>
      <c r="D802" s="62" t="n">
        <v>22.2</v>
      </c>
      <c r="E802" s="62" t="n">
        <v>53.1</v>
      </c>
      <c r="F802" s="62" t="n">
        <f aca="false">E802*0.7</f>
        <v>37.17</v>
      </c>
      <c r="G802" s="62" t="n">
        <v>0.08</v>
      </c>
      <c r="H802" s="58" t="n">
        <v>8</v>
      </c>
      <c r="I802" s="62" t="n">
        <v>21.8</v>
      </c>
      <c r="J802" s="63"/>
      <c r="K802" s="63"/>
      <c r="L802" s="62" t="n">
        <v>0.3</v>
      </c>
      <c r="M802" s="58" t="n">
        <v>8</v>
      </c>
      <c r="N802" s="62" t="n">
        <v>21.8</v>
      </c>
      <c r="O802" s="63"/>
      <c r="P802" s="63"/>
      <c r="Q802" s="62" t="n">
        <v>0.38</v>
      </c>
      <c r="R802" s="58" t="n">
        <v>8</v>
      </c>
      <c r="S802" s="62" t="n">
        <v>21.7</v>
      </c>
      <c r="T802" s="63"/>
      <c r="U802" s="63"/>
      <c r="V802" s="58" t="n">
        <v>0</v>
      </c>
      <c r="W802" s="58" t="n">
        <v>8</v>
      </c>
      <c r="X802" s="62" t="n">
        <v>21.7</v>
      </c>
      <c r="Y802" s="63"/>
      <c r="Z802" s="63"/>
      <c r="AA802" s="58" t="n">
        <v>0</v>
      </c>
      <c r="AB802" s="58" t="n">
        <v>8</v>
      </c>
      <c r="AC802" s="62" t="n">
        <v>21.2</v>
      </c>
      <c r="AD802" s="62" t="n">
        <v>53.1</v>
      </c>
      <c r="AE802" s="62" t="n">
        <f aca="false">AD802*0.7</f>
        <v>37.17</v>
      </c>
      <c r="AF802" s="62"/>
      <c r="AG802" s="58" t="n">
        <v>0</v>
      </c>
      <c r="AH802" s="62"/>
      <c r="AI802" s="58" t="n">
        <v>8</v>
      </c>
      <c r="AJ802" s="62" t="n">
        <v>21</v>
      </c>
      <c r="AK802" s="62" t="n">
        <v>53.1</v>
      </c>
      <c r="AL802" s="62" t="n">
        <f aca="false">AK802*0.7</f>
        <v>37.17</v>
      </c>
      <c r="AM802" s="62"/>
      <c r="AN802" s="58" t="n">
        <v>0</v>
      </c>
      <c r="AO802" s="58" t="n">
        <v>6.42</v>
      </c>
      <c r="AP802" s="62" t="n">
        <v>22.2</v>
      </c>
      <c r="AQ802" s="62" t="n">
        <v>418</v>
      </c>
      <c r="AR802" s="62" t="n">
        <f aca="false">0.55*AQ802</f>
        <v>229.9</v>
      </c>
      <c r="AS802" s="58" t="n">
        <v>0</v>
      </c>
      <c r="AT802" s="58" t="n">
        <v>8.34</v>
      </c>
      <c r="AU802" s="62" t="n">
        <v>22.3</v>
      </c>
      <c r="AV802" s="62" t="n">
        <v>518</v>
      </c>
      <c r="AW802" s="62" t="n">
        <f aca="false">0.55*AV802</f>
        <v>284.9</v>
      </c>
      <c r="AX802" s="62" t="n">
        <v>1</v>
      </c>
      <c r="AY802" s="58" t="n">
        <v>0</v>
      </c>
    </row>
    <row r="803" customFormat="false" ht="16.15" hidden="false" customHeight="false" outlineLevel="0" collapsed="false">
      <c r="A803" s="66" t="n">
        <v>45546</v>
      </c>
      <c r="B803" s="2" t="s">
        <v>201</v>
      </c>
      <c r="C803" s="57" t="n">
        <v>8.1</v>
      </c>
      <c r="D803" s="62" t="n">
        <v>23.1</v>
      </c>
      <c r="E803" s="62" t="n">
        <v>53</v>
      </c>
      <c r="F803" s="62" t="n">
        <f aca="false">E803*0.7</f>
        <v>37.1</v>
      </c>
      <c r="G803" s="62" t="n">
        <v>0.19</v>
      </c>
      <c r="H803" s="58" t="n">
        <v>8.1</v>
      </c>
      <c r="I803" s="62" t="n">
        <v>22.5</v>
      </c>
      <c r="J803" s="63"/>
      <c r="K803" s="63"/>
      <c r="L803" s="62" t="n">
        <v>0.33</v>
      </c>
      <c r="M803" s="58" t="n">
        <v>8.1</v>
      </c>
      <c r="N803" s="62" t="n">
        <v>22.5</v>
      </c>
      <c r="O803" s="63"/>
      <c r="P803" s="63"/>
      <c r="Q803" s="62" t="n">
        <v>0.43</v>
      </c>
      <c r="R803" s="58" t="n">
        <v>8.08</v>
      </c>
      <c r="S803" s="62" t="n">
        <v>22.4</v>
      </c>
      <c r="T803" s="63"/>
      <c r="U803" s="63"/>
      <c r="V803" s="58" t="n">
        <v>0</v>
      </c>
      <c r="W803" s="58" t="n">
        <v>8.08</v>
      </c>
      <c r="X803" s="62" t="n">
        <v>22.4</v>
      </c>
      <c r="Y803" s="63"/>
      <c r="Z803" s="63"/>
      <c r="AA803" s="58" t="n">
        <v>0</v>
      </c>
      <c r="AB803" s="58" t="n">
        <v>8.05</v>
      </c>
      <c r="AC803" s="62" t="n">
        <v>22.3</v>
      </c>
      <c r="AD803" s="62" t="n">
        <v>53</v>
      </c>
      <c r="AE803" s="62" t="n">
        <f aca="false">AD803*0.7</f>
        <v>37.1</v>
      </c>
      <c r="AF803" s="62"/>
      <c r="AG803" s="58" t="n">
        <v>0</v>
      </c>
      <c r="AH803" s="62"/>
      <c r="AI803" s="58" t="n">
        <v>8.05</v>
      </c>
      <c r="AJ803" s="62" t="n">
        <v>22.3</v>
      </c>
      <c r="AK803" s="62" t="n">
        <v>53</v>
      </c>
      <c r="AL803" s="62" t="n">
        <f aca="false">AK803*0.7</f>
        <v>37.1</v>
      </c>
      <c r="AM803" s="62"/>
      <c r="AN803" s="58" t="n">
        <v>0</v>
      </c>
      <c r="AO803" s="58" t="n">
        <v>6.63</v>
      </c>
      <c r="AP803" s="62" t="n">
        <v>22.2</v>
      </c>
      <c r="AQ803" s="62" t="n">
        <v>440</v>
      </c>
      <c r="AR803" s="62" t="n">
        <f aca="false">0.55*AQ803</f>
        <v>242</v>
      </c>
      <c r="AS803" s="58" t="n">
        <v>0</v>
      </c>
      <c r="AT803" s="58" t="n">
        <v>8.4</v>
      </c>
      <c r="AU803" s="62" t="n">
        <v>22.4</v>
      </c>
      <c r="AV803" s="62" t="n">
        <v>529</v>
      </c>
      <c r="AW803" s="62" t="n">
        <f aca="false">0.55*AV803</f>
        <v>290.95</v>
      </c>
      <c r="AX803" s="62" t="n">
        <v>1</v>
      </c>
      <c r="AY803" s="58" t="n">
        <v>0</v>
      </c>
    </row>
    <row r="804" customFormat="false" ht="16.15" hidden="false" customHeight="false" outlineLevel="0" collapsed="false">
      <c r="A804" s="66" t="n">
        <v>45576</v>
      </c>
      <c r="B804" s="2" t="s">
        <v>201</v>
      </c>
      <c r="C804" s="57" t="n">
        <v>8.05</v>
      </c>
      <c r="D804" s="62" t="n">
        <v>21.5</v>
      </c>
      <c r="E804" s="62" t="n">
        <v>53.1</v>
      </c>
      <c r="F804" s="62" t="n">
        <f aca="false">E804*0.7</f>
        <v>37.17</v>
      </c>
      <c r="G804" s="62" t="n">
        <v>0.46</v>
      </c>
      <c r="H804" s="58" t="n">
        <v>8.03</v>
      </c>
      <c r="I804" s="62" t="n">
        <v>21.4</v>
      </c>
      <c r="J804" s="63"/>
      <c r="K804" s="63"/>
      <c r="L804" s="62" t="n">
        <v>0.4</v>
      </c>
      <c r="M804" s="58" t="n">
        <v>8.03</v>
      </c>
      <c r="N804" s="62" t="n">
        <v>21.4</v>
      </c>
      <c r="O804" s="63"/>
      <c r="P804" s="63"/>
      <c r="Q804" s="62" t="n">
        <v>0.26</v>
      </c>
      <c r="R804" s="58" t="n">
        <v>8</v>
      </c>
      <c r="S804" s="62" t="n">
        <v>21.3</v>
      </c>
      <c r="T804" s="63"/>
      <c r="U804" s="63"/>
      <c r="V804" s="58" t="n">
        <v>0</v>
      </c>
      <c r="W804" s="58" t="n">
        <v>8</v>
      </c>
      <c r="X804" s="62" t="n">
        <v>21.3</v>
      </c>
      <c r="Y804" s="63"/>
      <c r="Z804" s="63"/>
      <c r="AA804" s="58" t="n">
        <v>0</v>
      </c>
      <c r="AB804" s="58" t="n">
        <v>7.98</v>
      </c>
      <c r="AC804" s="62" t="n">
        <v>21.4</v>
      </c>
      <c r="AD804" s="62" t="n">
        <v>53.1</v>
      </c>
      <c r="AE804" s="62" t="n">
        <f aca="false">AD804*0.7</f>
        <v>37.17</v>
      </c>
      <c r="AF804" s="62"/>
      <c r="AG804" s="58" t="n">
        <v>0</v>
      </c>
      <c r="AH804" s="62"/>
      <c r="AI804" s="58" t="n">
        <v>7.98</v>
      </c>
      <c r="AJ804" s="62" t="n">
        <v>21.4</v>
      </c>
      <c r="AK804" s="62" t="n">
        <v>53.1</v>
      </c>
      <c r="AL804" s="62" t="n">
        <f aca="false">AK804*0.7</f>
        <v>37.17</v>
      </c>
      <c r="AM804" s="62"/>
      <c r="AN804" s="58" t="n">
        <v>0</v>
      </c>
      <c r="AO804" s="58" t="n">
        <v>6.58</v>
      </c>
      <c r="AP804" s="62" t="n">
        <v>21.9</v>
      </c>
      <c r="AQ804" s="62" t="n">
        <v>405</v>
      </c>
      <c r="AR804" s="62" t="n">
        <f aca="false">0.55*AQ804</f>
        <v>222.75</v>
      </c>
      <c r="AS804" s="58" t="n">
        <v>0</v>
      </c>
      <c r="AT804" s="58" t="n">
        <v>8.19</v>
      </c>
      <c r="AU804" s="62" t="n">
        <v>21.3</v>
      </c>
      <c r="AV804" s="62" t="n">
        <v>526</v>
      </c>
      <c r="AW804" s="62" t="n">
        <f aca="false">0.55*AV804</f>
        <v>289.3</v>
      </c>
      <c r="AX804" s="62" t="n">
        <v>1</v>
      </c>
      <c r="AY804" s="58" t="n">
        <v>0</v>
      </c>
    </row>
    <row r="805" customFormat="false" ht="16.15" hidden="false" customHeight="false" outlineLevel="0" collapsed="false">
      <c r="A805" s="66" t="n">
        <v>45607</v>
      </c>
      <c r="B805" s="2" t="s">
        <v>201</v>
      </c>
      <c r="C805" s="57" t="n">
        <v>8.08</v>
      </c>
      <c r="D805" s="62" t="n">
        <v>21.3</v>
      </c>
      <c r="E805" s="62" t="n">
        <v>53.1</v>
      </c>
      <c r="F805" s="62" t="n">
        <f aca="false">E805*0.7</f>
        <v>37.17</v>
      </c>
      <c r="G805" s="62" t="n">
        <v>0.98</v>
      </c>
      <c r="H805" s="58" t="n">
        <v>8.06</v>
      </c>
      <c r="I805" s="62" t="n">
        <v>21.3</v>
      </c>
      <c r="J805" s="63"/>
      <c r="K805" s="63"/>
      <c r="L805" s="62" t="n">
        <v>3.98</v>
      </c>
      <c r="M805" s="58" t="n">
        <v>8.06</v>
      </c>
      <c r="N805" s="62" t="n">
        <v>21.3</v>
      </c>
      <c r="O805" s="63"/>
      <c r="P805" s="63"/>
      <c r="Q805" s="62" t="n">
        <v>2.27</v>
      </c>
      <c r="R805" s="58" t="n">
        <v>8</v>
      </c>
      <c r="S805" s="62" t="n">
        <v>21.3</v>
      </c>
      <c r="T805" s="63"/>
      <c r="U805" s="63"/>
      <c r="V805" s="58" t="n">
        <v>0</v>
      </c>
      <c r="W805" s="58" t="n">
        <v>8</v>
      </c>
      <c r="X805" s="62" t="n">
        <v>21.2</v>
      </c>
      <c r="Y805" s="63"/>
      <c r="Z805" s="63"/>
      <c r="AA805" s="58" t="n">
        <v>0</v>
      </c>
      <c r="AB805" s="58" t="n">
        <v>7.93</v>
      </c>
      <c r="AC805" s="62" t="n">
        <v>21.2</v>
      </c>
      <c r="AD805" s="62" t="n">
        <v>53</v>
      </c>
      <c r="AE805" s="62" t="n">
        <f aca="false">AD805*0.7</f>
        <v>37.1</v>
      </c>
      <c r="AF805" s="62"/>
      <c r="AG805" s="58" t="n">
        <v>0</v>
      </c>
      <c r="AH805" s="62"/>
      <c r="AI805" s="58" t="n">
        <v>7.93</v>
      </c>
      <c r="AJ805" s="62" t="n">
        <v>21.2</v>
      </c>
      <c r="AK805" s="62" t="n">
        <v>53</v>
      </c>
      <c r="AL805" s="62" t="n">
        <f aca="false">AK805*0.7</f>
        <v>37.1</v>
      </c>
      <c r="AM805" s="62"/>
      <c r="AN805" s="58" t="n">
        <v>0</v>
      </c>
      <c r="AO805" s="58" t="n">
        <v>6.6</v>
      </c>
      <c r="AP805" s="62" t="n">
        <v>21.4</v>
      </c>
      <c r="AQ805" s="62" t="n">
        <v>397</v>
      </c>
      <c r="AR805" s="62" t="n">
        <f aca="false">0.55*AQ805</f>
        <v>218.35</v>
      </c>
      <c r="AS805" s="58" t="n">
        <v>0</v>
      </c>
      <c r="AT805" s="58" t="n">
        <v>8.49</v>
      </c>
      <c r="AU805" s="62" t="n">
        <v>22</v>
      </c>
      <c r="AV805" s="62" t="n">
        <v>504</v>
      </c>
      <c r="AW805" s="62" t="n">
        <f aca="false">0.55*AV805</f>
        <v>277.2</v>
      </c>
      <c r="AX805" s="62" t="n">
        <v>1</v>
      </c>
      <c r="AY805" s="58" t="n">
        <v>0</v>
      </c>
    </row>
    <row r="806" customFormat="false" ht="16.15" hidden="false" customHeight="false" outlineLevel="0" collapsed="false">
      <c r="A806" s="66" t="n">
        <v>45637</v>
      </c>
      <c r="B806" s="2" t="s">
        <v>201</v>
      </c>
      <c r="C806" s="57" t="n">
        <v>8.04</v>
      </c>
      <c r="D806" s="62" t="n">
        <v>20.5</v>
      </c>
      <c r="E806" s="62" t="n">
        <v>52.9</v>
      </c>
      <c r="F806" s="62" t="n">
        <f aca="false">E806*0.7</f>
        <v>37.03</v>
      </c>
      <c r="G806" s="62" t="n">
        <v>12</v>
      </c>
      <c r="H806" s="58" t="n">
        <v>7.98</v>
      </c>
      <c r="I806" s="62" t="n">
        <v>20.6</v>
      </c>
      <c r="J806" s="63"/>
      <c r="K806" s="63"/>
      <c r="L806" s="62" t="n">
        <v>7.13</v>
      </c>
      <c r="M806" s="58" t="n">
        <v>7.98</v>
      </c>
      <c r="N806" s="62" t="n">
        <v>20.6</v>
      </c>
      <c r="O806" s="63"/>
      <c r="P806" s="63"/>
      <c r="Q806" s="62" t="n">
        <v>7.82</v>
      </c>
      <c r="R806" s="58" t="n">
        <v>7.95</v>
      </c>
      <c r="S806" s="62" t="n">
        <v>20.7</v>
      </c>
      <c r="T806" s="63"/>
      <c r="U806" s="63"/>
      <c r="V806" s="58" t="n">
        <v>0</v>
      </c>
      <c r="W806" s="58" t="n">
        <v>7.95</v>
      </c>
      <c r="X806" s="62" t="n">
        <v>20.7</v>
      </c>
      <c r="Y806" s="63"/>
      <c r="Z806" s="63"/>
      <c r="AA806" s="58" t="n">
        <v>0</v>
      </c>
      <c r="AB806" s="58" t="n">
        <v>7.93</v>
      </c>
      <c r="AC806" s="62" t="n">
        <v>20.9</v>
      </c>
      <c r="AD806" s="62" t="n">
        <v>52.9</v>
      </c>
      <c r="AE806" s="62" t="n">
        <f aca="false">AD806*0.7</f>
        <v>37.03</v>
      </c>
      <c r="AF806" s="62"/>
      <c r="AG806" s="58" t="n">
        <v>0</v>
      </c>
      <c r="AH806" s="62"/>
      <c r="AI806" s="58" t="n">
        <v>7.93</v>
      </c>
      <c r="AJ806" s="62" t="n">
        <v>20.9</v>
      </c>
      <c r="AK806" s="62" t="n">
        <v>52.9</v>
      </c>
      <c r="AL806" s="62" t="n">
        <f aca="false">AK806*0.7</f>
        <v>37.03</v>
      </c>
      <c r="AM806" s="62"/>
      <c r="AN806" s="58" t="n">
        <v>0</v>
      </c>
      <c r="AO806" s="58" t="n">
        <v>6.65</v>
      </c>
      <c r="AP806" s="62" t="n">
        <v>21.4</v>
      </c>
      <c r="AQ806" s="62" t="n">
        <v>396</v>
      </c>
      <c r="AR806" s="62" t="n">
        <f aca="false">0.55*AQ806</f>
        <v>217.8</v>
      </c>
      <c r="AS806" s="58" t="n">
        <v>0</v>
      </c>
      <c r="AT806" s="58" t="n">
        <v>8.33</v>
      </c>
      <c r="AU806" s="62" t="n">
        <v>20.8</v>
      </c>
      <c r="AV806" s="62" t="n">
        <v>503</v>
      </c>
      <c r="AW806" s="62" t="n">
        <f aca="false">0.55*AV806</f>
        <v>276.65</v>
      </c>
      <c r="AX806" s="62" t="n">
        <v>1</v>
      </c>
      <c r="AY806" s="58" t="n">
        <v>0</v>
      </c>
    </row>
    <row r="807" customFormat="false" ht="16.15" hidden="false" customHeight="false" outlineLevel="0" collapsed="false">
      <c r="A807" s="68" t="s">
        <v>221</v>
      </c>
      <c r="B807" s="2" t="s">
        <v>201</v>
      </c>
      <c r="C807" s="57" t="n">
        <v>8.07</v>
      </c>
      <c r="D807" s="62" t="n">
        <v>21.4</v>
      </c>
      <c r="E807" s="62" t="n">
        <v>53.1</v>
      </c>
      <c r="F807" s="62" t="n">
        <f aca="false">E807*0.7</f>
        <v>37.17</v>
      </c>
      <c r="G807" s="62" t="n">
        <v>3.34</v>
      </c>
      <c r="H807" s="58" t="n">
        <v>8</v>
      </c>
      <c r="I807" s="62" t="n">
        <v>21.3</v>
      </c>
      <c r="J807" s="63"/>
      <c r="K807" s="63"/>
      <c r="L807" s="62" t="n">
        <v>2.34</v>
      </c>
      <c r="M807" s="58" t="n">
        <v>8</v>
      </c>
      <c r="N807" s="62" t="n">
        <v>21.2</v>
      </c>
      <c r="O807" s="63"/>
      <c r="P807" s="63"/>
      <c r="Q807" s="62" t="n">
        <v>2.27</v>
      </c>
      <c r="R807" s="58" t="n">
        <v>7.94</v>
      </c>
      <c r="S807" s="62" t="n">
        <v>21</v>
      </c>
      <c r="T807" s="63"/>
      <c r="U807" s="63"/>
      <c r="V807" s="58" t="n">
        <v>0</v>
      </c>
      <c r="W807" s="58" t="n">
        <v>7.94</v>
      </c>
      <c r="X807" s="62" t="n">
        <v>21</v>
      </c>
      <c r="Y807" s="63"/>
      <c r="Z807" s="63"/>
      <c r="AA807" s="58" t="n">
        <v>0</v>
      </c>
      <c r="AB807" s="58" t="n">
        <v>7.97</v>
      </c>
      <c r="AC807" s="62" t="n">
        <v>20.6</v>
      </c>
      <c r="AD807" s="62" t="n">
        <v>53</v>
      </c>
      <c r="AE807" s="62" t="n">
        <f aca="false">AD807*0.7</f>
        <v>37.1</v>
      </c>
      <c r="AF807" s="62"/>
      <c r="AG807" s="58" t="n">
        <v>0</v>
      </c>
      <c r="AH807" s="62"/>
      <c r="AI807" s="58" t="n">
        <v>7.96</v>
      </c>
      <c r="AJ807" s="62" t="n">
        <v>20.6</v>
      </c>
      <c r="AK807" s="62" t="n">
        <v>53</v>
      </c>
      <c r="AL807" s="62" t="n">
        <f aca="false">AK807*0.7</f>
        <v>37.1</v>
      </c>
      <c r="AM807" s="62"/>
      <c r="AN807" s="58" t="n">
        <v>0</v>
      </c>
      <c r="AO807" s="58" t="n">
        <v>6.76</v>
      </c>
      <c r="AP807" s="62" t="n">
        <v>21.3</v>
      </c>
      <c r="AQ807" s="62" t="n">
        <v>345</v>
      </c>
      <c r="AR807" s="62" t="n">
        <f aca="false">0.55*AQ807</f>
        <v>189.75</v>
      </c>
      <c r="AS807" s="58" t="n">
        <v>0</v>
      </c>
      <c r="AT807" s="58" t="n">
        <v>8.31</v>
      </c>
      <c r="AU807" s="62" t="n">
        <v>21.9</v>
      </c>
      <c r="AV807" s="62" t="n">
        <v>500</v>
      </c>
      <c r="AW807" s="62" t="n">
        <f aca="false">0.55*AV807</f>
        <v>275</v>
      </c>
      <c r="AX807" s="62" t="n">
        <v>1</v>
      </c>
      <c r="AY807" s="58" t="n">
        <v>0</v>
      </c>
    </row>
    <row r="808" customFormat="false" ht="16.15" hidden="false" customHeight="false" outlineLevel="0" collapsed="false">
      <c r="A808" s="68" t="s">
        <v>222</v>
      </c>
      <c r="B808" s="2" t="s">
        <v>201</v>
      </c>
      <c r="C808" s="57" t="n">
        <v>8.06</v>
      </c>
      <c r="D808" s="62" t="n">
        <v>21.7</v>
      </c>
      <c r="E808" s="62" t="n">
        <v>53.2</v>
      </c>
      <c r="F808" s="62" t="n">
        <f aca="false">E808*0.7</f>
        <v>37.24</v>
      </c>
      <c r="G808" s="62" t="n">
        <v>2.62</v>
      </c>
      <c r="H808" s="58" t="n">
        <v>8.04</v>
      </c>
      <c r="I808" s="62" t="n">
        <v>20.9</v>
      </c>
      <c r="J808" s="63"/>
      <c r="K808" s="63"/>
      <c r="L808" s="62" t="n">
        <v>2.87</v>
      </c>
      <c r="M808" s="58" t="n">
        <v>8.05</v>
      </c>
      <c r="N808" s="62" t="n">
        <v>20.9</v>
      </c>
      <c r="O808" s="63"/>
      <c r="P808" s="63"/>
      <c r="Q808" s="62" t="n">
        <v>2.93</v>
      </c>
      <c r="R808" s="58" t="n">
        <v>8.01</v>
      </c>
      <c r="S808" s="62" t="n">
        <v>20.9</v>
      </c>
      <c r="T808" s="63"/>
      <c r="U808" s="63"/>
      <c r="V808" s="58" t="n">
        <v>0</v>
      </c>
      <c r="W808" s="58" t="n">
        <v>8.01</v>
      </c>
      <c r="X808" s="62" t="n">
        <v>20.9</v>
      </c>
      <c r="Y808" s="63"/>
      <c r="Z808" s="63"/>
      <c r="AA808" s="58" t="n">
        <v>0</v>
      </c>
      <c r="AB808" s="58" t="n">
        <v>7.94</v>
      </c>
      <c r="AC808" s="62" t="n">
        <v>20.6</v>
      </c>
      <c r="AD808" s="62" t="n">
        <v>53</v>
      </c>
      <c r="AE808" s="62" t="n">
        <f aca="false">AD808*0.7</f>
        <v>37.1</v>
      </c>
      <c r="AF808" s="62"/>
      <c r="AG808" s="58" t="n">
        <v>0</v>
      </c>
      <c r="AH808" s="62"/>
      <c r="AI808" s="58" t="n">
        <v>7.95</v>
      </c>
      <c r="AJ808" s="62" t="n">
        <v>20.7</v>
      </c>
      <c r="AK808" s="62" t="n">
        <v>53</v>
      </c>
      <c r="AL808" s="62" t="n">
        <f aca="false">AK808*0.7</f>
        <v>37.1</v>
      </c>
      <c r="AM808" s="62"/>
      <c r="AN808" s="58" t="n">
        <v>0</v>
      </c>
      <c r="AO808" s="58" t="n">
        <v>6.69</v>
      </c>
      <c r="AP808" s="62" t="n">
        <v>21.1</v>
      </c>
      <c r="AQ808" s="62" t="n">
        <v>402</v>
      </c>
      <c r="AR808" s="62" t="n">
        <f aca="false">0.55*AQ808</f>
        <v>221.1</v>
      </c>
      <c r="AS808" s="58" t="n">
        <v>0</v>
      </c>
      <c r="AT808" s="58" t="n">
        <v>8.4</v>
      </c>
      <c r="AU808" s="62" t="n">
        <v>20.9</v>
      </c>
      <c r="AV808" s="62" t="n">
        <v>495</v>
      </c>
      <c r="AW808" s="62" t="n">
        <f aca="false">0.55*AV808</f>
        <v>272.25</v>
      </c>
      <c r="AX808" s="62" t="n">
        <v>1</v>
      </c>
      <c r="AY808" s="58" t="n">
        <v>0</v>
      </c>
    </row>
    <row r="809" customFormat="false" ht="16.15" hidden="false" customHeight="false" outlineLevel="0" collapsed="false">
      <c r="A809" s="68" t="s">
        <v>223</v>
      </c>
      <c r="B809" s="2" t="s">
        <v>201</v>
      </c>
      <c r="C809" s="57" t="n">
        <v>8.09</v>
      </c>
      <c r="D809" s="62" t="n">
        <v>21.9</v>
      </c>
      <c r="E809" s="62" t="n">
        <v>53</v>
      </c>
      <c r="F809" s="62" t="n">
        <f aca="false">E809*0.7</f>
        <v>37.1</v>
      </c>
      <c r="G809" s="62" t="n">
        <v>0.98</v>
      </c>
      <c r="H809" s="58" t="n">
        <v>8.08</v>
      </c>
      <c r="I809" s="62" t="n">
        <v>21.6</v>
      </c>
      <c r="J809" s="63"/>
      <c r="K809" s="63"/>
      <c r="L809" s="62" t="n">
        <v>0.99</v>
      </c>
      <c r="M809" s="58" t="n">
        <v>8.08</v>
      </c>
      <c r="N809" s="62" t="n">
        <v>21.6</v>
      </c>
      <c r="O809" s="63"/>
      <c r="P809" s="63"/>
      <c r="Q809" s="62" t="n">
        <v>1</v>
      </c>
      <c r="R809" s="58" t="n">
        <v>8.07</v>
      </c>
      <c r="S809" s="62" t="n">
        <v>21.5</v>
      </c>
      <c r="T809" s="63"/>
      <c r="U809" s="63"/>
      <c r="V809" s="58" t="n">
        <v>0</v>
      </c>
      <c r="W809" s="58" t="n">
        <v>8.07</v>
      </c>
      <c r="X809" s="62" t="n">
        <v>21.5</v>
      </c>
      <c r="Y809" s="63"/>
      <c r="Z809" s="63"/>
      <c r="AA809" s="58" t="n">
        <v>0</v>
      </c>
      <c r="AB809" s="58" t="n">
        <v>8.03</v>
      </c>
      <c r="AC809" s="62" t="n">
        <v>21.4</v>
      </c>
      <c r="AD809" s="62" t="n">
        <v>53</v>
      </c>
      <c r="AE809" s="62" t="n">
        <f aca="false">AD809*0.7</f>
        <v>37.1</v>
      </c>
      <c r="AF809" s="62"/>
      <c r="AG809" s="58" t="n">
        <v>0</v>
      </c>
      <c r="AH809" s="62"/>
      <c r="AI809" s="58" t="n">
        <v>8.03</v>
      </c>
      <c r="AJ809" s="62" t="n">
        <v>21.3</v>
      </c>
      <c r="AK809" s="62" t="n">
        <v>53</v>
      </c>
      <c r="AL809" s="62" t="n">
        <f aca="false">AK809*0.7</f>
        <v>37.1</v>
      </c>
      <c r="AM809" s="62"/>
      <c r="AN809" s="58" t="n">
        <v>0</v>
      </c>
      <c r="AO809" s="58" t="n">
        <v>6.72</v>
      </c>
      <c r="AP809" s="62" t="n">
        <v>21.4</v>
      </c>
      <c r="AQ809" s="62" t="n">
        <v>407</v>
      </c>
      <c r="AR809" s="62" t="n">
        <f aca="false">0.55*AQ809</f>
        <v>223.85</v>
      </c>
      <c r="AS809" s="58" t="n">
        <v>0</v>
      </c>
      <c r="AT809" s="58" t="n">
        <v>8.4</v>
      </c>
      <c r="AU809" s="62" t="n">
        <v>21.9</v>
      </c>
      <c r="AV809" s="62" t="n">
        <v>485</v>
      </c>
      <c r="AW809" s="62" t="n">
        <f aca="false">0.55*AV809</f>
        <v>266.75</v>
      </c>
      <c r="AX809" s="62" t="n">
        <v>1</v>
      </c>
      <c r="AY809" s="58" t="n">
        <v>0</v>
      </c>
    </row>
    <row r="810" customFormat="false" ht="16.15" hidden="false" customHeight="false" outlineLevel="0" collapsed="false">
      <c r="A810" s="68" t="s">
        <v>224</v>
      </c>
      <c r="B810" s="2" t="s">
        <v>201</v>
      </c>
      <c r="C810" s="57" t="n">
        <v>8.03</v>
      </c>
      <c r="D810" s="62" t="n">
        <v>21.3</v>
      </c>
      <c r="E810" s="62" t="n">
        <v>53</v>
      </c>
      <c r="F810" s="62" t="n">
        <f aca="false">E810*0.7</f>
        <v>37.1</v>
      </c>
      <c r="G810" s="62" t="n">
        <v>0.52</v>
      </c>
      <c r="H810" s="58" t="n">
        <v>8.02</v>
      </c>
      <c r="I810" s="62" t="n">
        <v>20.5</v>
      </c>
      <c r="J810" s="63"/>
      <c r="K810" s="63"/>
      <c r="L810" s="62" t="n">
        <v>1.28</v>
      </c>
      <c r="M810" s="58" t="n">
        <v>8.02</v>
      </c>
      <c r="N810" s="62" t="n">
        <v>20.5</v>
      </c>
      <c r="O810" s="63"/>
      <c r="P810" s="63"/>
      <c r="Q810" s="62" t="n">
        <v>1.33</v>
      </c>
      <c r="R810" s="58" t="n">
        <v>8</v>
      </c>
      <c r="S810" s="62" t="n">
        <v>20.6</v>
      </c>
      <c r="T810" s="63"/>
      <c r="U810" s="63"/>
      <c r="V810" s="58" t="n">
        <v>0</v>
      </c>
      <c r="W810" s="58" t="n">
        <v>8</v>
      </c>
      <c r="X810" s="62" t="n">
        <v>20.6</v>
      </c>
      <c r="Y810" s="63"/>
      <c r="Z810" s="63"/>
      <c r="AA810" s="58" t="n">
        <v>0</v>
      </c>
      <c r="AB810" s="58" t="n">
        <v>8</v>
      </c>
      <c r="AC810" s="62" t="n">
        <v>20.3</v>
      </c>
      <c r="AD810" s="62" t="n">
        <v>53.1</v>
      </c>
      <c r="AE810" s="62" t="n">
        <f aca="false">AD810*0.7</f>
        <v>37.17</v>
      </c>
      <c r="AF810" s="62"/>
      <c r="AG810" s="58" t="n">
        <v>0</v>
      </c>
      <c r="AH810" s="62"/>
      <c r="AI810" s="58" t="n">
        <v>8</v>
      </c>
      <c r="AJ810" s="62" t="n">
        <v>20.3</v>
      </c>
      <c r="AK810" s="62" t="n">
        <v>53.1</v>
      </c>
      <c r="AL810" s="62" t="n">
        <f aca="false">AK810*0.7</f>
        <v>37.17</v>
      </c>
      <c r="AM810" s="62"/>
      <c r="AN810" s="58" t="n">
        <v>0</v>
      </c>
      <c r="AO810" s="58" t="n">
        <v>6.6</v>
      </c>
      <c r="AP810" s="62" t="n">
        <v>20.4</v>
      </c>
      <c r="AQ810" s="62" t="n">
        <v>435</v>
      </c>
      <c r="AR810" s="62" t="n">
        <f aca="false">0.55*AQ810</f>
        <v>239.25</v>
      </c>
      <c r="AS810" s="58" t="n">
        <v>0</v>
      </c>
      <c r="AT810" s="58" t="n">
        <v>8.34</v>
      </c>
      <c r="AU810" s="62" t="n">
        <v>21.2</v>
      </c>
      <c r="AV810" s="62" t="n">
        <v>483</v>
      </c>
      <c r="AW810" s="62" t="n">
        <f aca="false">0.55*AV810</f>
        <v>265.65</v>
      </c>
      <c r="AX810" s="62" t="n">
        <v>1</v>
      </c>
      <c r="AY810" s="58" t="n">
        <v>0</v>
      </c>
    </row>
    <row r="811" customFormat="false" ht="16.15" hidden="false" customHeight="false" outlineLevel="0" collapsed="false">
      <c r="A811" s="68" t="s">
        <v>225</v>
      </c>
      <c r="B811" s="2" t="s">
        <v>201</v>
      </c>
      <c r="C811" s="57" t="n">
        <v>8.05</v>
      </c>
      <c r="D811" s="62" t="n">
        <v>22.5</v>
      </c>
      <c r="E811" s="62" t="n">
        <v>53.2</v>
      </c>
      <c r="F811" s="62" t="n">
        <f aca="false">E811*0.7</f>
        <v>37.24</v>
      </c>
      <c r="G811" s="62" t="n">
        <v>0.29</v>
      </c>
      <c r="H811" s="58" t="n">
        <v>8.03</v>
      </c>
      <c r="I811" s="62" t="n">
        <v>21</v>
      </c>
      <c r="J811" s="63"/>
      <c r="K811" s="63"/>
      <c r="L811" s="62" t="n">
        <v>1.44</v>
      </c>
      <c r="M811" s="58" t="n">
        <v>8.03</v>
      </c>
      <c r="N811" s="62" t="n">
        <v>21</v>
      </c>
      <c r="O811" s="63"/>
      <c r="P811" s="63"/>
      <c r="Q811" s="62" t="n">
        <v>1.14</v>
      </c>
      <c r="R811" s="58" t="n">
        <v>8.01</v>
      </c>
      <c r="S811" s="62" t="n">
        <v>20.9</v>
      </c>
      <c r="T811" s="63"/>
      <c r="U811" s="63"/>
      <c r="V811" s="58" t="n">
        <v>0</v>
      </c>
      <c r="W811" s="58" t="n">
        <v>8.01</v>
      </c>
      <c r="X811" s="62" t="n">
        <v>20.9</v>
      </c>
      <c r="Y811" s="63"/>
      <c r="Z811" s="63"/>
      <c r="AA811" s="58" t="n">
        <v>0</v>
      </c>
      <c r="AB811" s="58" t="n">
        <v>7.98</v>
      </c>
      <c r="AC811" s="62" t="n">
        <v>20.5</v>
      </c>
      <c r="AD811" s="62" t="n">
        <v>53.2</v>
      </c>
      <c r="AE811" s="62" t="n">
        <f aca="false">AD811*0.7</f>
        <v>37.24</v>
      </c>
      <c r="AF811" s="62"/>
      <c r="AG811" s="58" t="n">
        <v>0</v>
      </c>
      <c r="AH811" s="62"/>
      <c r="AI811" s="58" t="n">
        <v>7.98</v>
      </c>
      <c r="AJ811" s="62" t="n">
        <v>20.5</v>
      </c>
      <c r="AK811" s="62" t="n">
        <v>53.2</v>
      </c>
      <c r="AL811" s="62" t="n">
        <f aca="false">AK811*0.7</f>
        <v>37.24</v>
      </c>
      <c r="AM811" s="62"/>
      <c r="AN811" s="58" t="n">
        <v>0</v>
      </c>
      <c r="AO811" s="58" t="n">
        <v>6.62</v>
      </c>
      <c r="AP811" s="62" t="n">
        <v>21.1</v>
      </c>
      <c r="AQ811" s="62" t="n">
        <v>397</v>
      </c>
      <c r="AR811" s="62" t="n">
        <f aca="false">AQ811*0.55</f>
        <v>218.35</v>
      </c>
      <c r="AS811" s="58" t="n">
        <v>0</v>
      </c>
      <c r="AT811" s="58" t="n">
        <v>8.26</v>
      </c>
      <c r="AU811" s="62" t="n">
        <v>21.5</v>
      </c>
      <c r="AV811" s="62" t="n">
        <v>481</v>
      </c>
      <c r="AW811" s="62" t="n">
        <f aca="false">AV811*0.55</f>
        <v>264.55</v>
      </c>
      <c r="AX811" s="62" t="n">
        <v>1</v>
      </c>
      <c r="AY811" s="58" t="n">
        <v>0</v>
      </c>
    </row>
    <row r="812" customFormat="false" ht="16.15" hidden="false" customHeight="false" outlineLevel="0" collapsed="false">
      <c r="A812" s="68" t="s">
        <v>226</v>
      </c>
      <c r="B812" s="2" t="s">
        <v>201</v>
      </c>
      <c r="C812" s="57" t="n">
        <v>8.04</v>
      </c>
      <c r="D812" s="62" t="n">
        <v>21.2</v>
      </c>
      <c r="E812" s="62" t="n">
        <v>53.3</v>
      </c>
      <c r="F812" s="62" t="n">
        <f aca="false">E812*0.7</f>
        <v>37.31</v>
      </c>
      <c r="G812" s="62" t="n">
        <v>0.29</v>
      </c>
      <c r="H812" s="58" t="n">
        <v>8</v>
      </c>
      <c r="I812" s="62" t="n">
        <v>20.8</v>
      </c>
      <c r="J812" s="63"/>
      <c r="K812" s="63"/>
      <c r="L812" s="62" t="n">
        <v>1.44</v>
      </c>
      <c r="M812" s="58" t="n">
        <v>8</v>
      </c>
      <c r="N812" s="62" t="n">
        <v>20.8</v>
      </c>
      <c r="O812" s="63"/>
      <c r="P812" s="63"/>
      <c r="Q812" s="62" t="n">
        <v>1.14</v>
      </c>
      <c r="R812" s="58" t="n">
        <v>7.99</v>
      </c>
      <c r="S812" s="62" t="n">
        <v>20.7</v>
      </c>
      <c r="T812" s="63"/>
      <c r="U812" s="63"/>
      <c r="V812" s="58" t="n">
        <v>0</v>
      </c>
      <c r="W812" s="58" t="n">
        <v>7.99</v>
      </c>
      <c r="X812" s="62" t="n">
        <v>20.7</v>
      </c>
      <c r="Y812" s="63"/>
      <c r="Z812" s="63"/>
      <c r="AA812" s="58" t="n">
        <v>0</v>
      </c>
      <c r="AB812" s="58" t="n">
        <v>7.96</v>
      </c>
      <c r="AC812" s="62" t="n">
        <v>20.6</v>
      </c>
      <c r="AD812" s="62" t="n">
        <v>53</v>
      </c>
      <c r="AE812" s="62" t="n">
        <f aca="false">AD812*0.7</f>
        <v>37.1</v>
      </c>
      <c r="AF812" s="62"/>
      <c r="AG812" s="58" t="n">
        <v>0</v>
      </c>
      <c r="AH812" s="62"/>
      <c r="AI812" s="58" t="n">
        <v>7.97</v>
      </c>
      <c r="AJ812" s="62" t="n">
        <v>20.6</v>
      </c>
      <c r="AK812" s="62" t="n">
        <v>53</v>
      </c>
      <c r="AL812" s="62" t="n">
        <f aca="false">AK812*0.7</f>
        <v>37.1</v>
      </c>
      <c r="AM812" s="62"/>
      <c r="AN812" s="58" t="n">
        <v>0</v>
      </c>
      <c r="AO812" s="58" t="n">
        <v>6.58</v>
      </c>
      <c r="AP812" s="62" t="n">
        <v>21.3</v>
      </c>
      <c r="AQ812" s="62" t="n">
        <v>392</v>
      </c>
      <c r="AR812" s="62" t="n">
        <f aca="false">AQ812*0.55</f>
        <v>215.6</v>
      </c>
      <c r="AS812" s="58" t="n">
        <v>0</v>
      </c>
      <c r="AT812" s="58" t="n">
        <v>8.18</v>
      </c>
      <c r="AU812" s="62" t="n">
        <v>21.8</v>
      </c>
      <c r="AV812" s="62" t="n">
        <v>489</v>
      </c>
      <c r="AW812" s="62" t="n">
        <f aca="false">AV812*0.55</f>
        <v>268.95</v>
      </c>
      <c r="AX812" s="62" t="n">
        <v>1</v>
      </c>
      <c r="AY812" s="58" t="n">
        <v>0</v>
      </c>
    </row>
    <row r="813" customFormat="false" ht="16.15" hidden="false" customHeight="false" outlineLevel="0" collapsed="false">
      <c r="A813" s="68" t="s">
        <v>227</v>
      </c>
      <c r="B813" s="2" t="s">
        <v>201</v>
      </c>
      <c r="C813" s="57" t="n">
        <v>8.04</v>
      </c>
      <c r="D813" s="62" t="n">
        <v>20.9</v>
      </c>
      <c r="E813" s="62" t="n">
        <v>53.3</v>
      </c>
      <c r="F813" s="62" t="n">
        <f aca="false">E813*0.7</f>
        <v>37.31</v>
      </c>
      <c r="G813" s="62" t="n">
        <v>0.43</v>
      </c>
      <c r="H813" s="58" t="n">
        <v>8</v>
      </c>
      <c r="I813" s="62" t="n">
        <v>20.7</v>
      </c>
      <c r="J813" s="63"/>
      <c r="K813" s="63"/>
      <c r="L813" s="62" t="n">
        <v>0.37</v>
      </c>
      <c r="M813" s="58" t="n">
        <v>8</v>
      </c>
      <c r="N813" s="62" t="n">
        <v>20.7</v>
      </c>
      <c r="O813" s="63"/>
      <c r="P813" s="63"/>
      <c r="Q813" s="62" t="n">
        <v>0.33</v>
      </c>
      <c r="R813" s="58" t="n">
        <v>7.98</v>
      </c>
      <c r="S813" s="62" t="n">
        <v>20.6</v>
      </c>
      <c r="T813" s="63"/>
      <c r="U813" s="63"/>
      <c r="V813" s="58" t="n">
        <v>0</v>
      </c>
      <c r="W813" s="58" t="n">
        <v>7.98</v>
      </c>
      <c r="X813" s="62" t="n">
        <v>20.6</v>
      </c>
      <c r="Y813" s="63"/>
      <c r="Z813" s="63"/>
      <c r="AA813" s="58" t="n">
        <v>0</v>
      </c>
      <c r="AB813" s="58" t="n">
        <v>7.95</v>
      </c>
      <c r="AC813" s="62" t="n">
        <v>20.7</v>
      </c>
      <c r="AD813" s="62" t="n">
        <v>53.3</v>
      </c>
      <c r="AE813" s="62" t="n">
        <f aca="false">AD813*0.7</f>
        <v>37.31</v>
      </c>
      <c r="AF813" s="62"/>
      <c r="AG813" s="58" t="n">
        <v>0</v>
      </c>
      <c r="AH813" s="62"/>
      <c r="AI813" s="58" t="n">
        <v>7.96</v>
      </c>
      <c r="AJ813" s="62" t="n">
        <v>20.7</v>
      </c>
      <c r="AK813" s="62" t="n">
        <v>53.3</v>
      </c>
      <c r="AL813" s="62" t="n">
        <f aca="false">AK813*0.7</f>
        <v>37.31</v>
      </c>
      <c r="AM813" s="62"/>
      <c r="AN813" s="58" t="n">
        <v>0</v>
      </c>
      <c r="AO813" s="58" t="n">
        <v>6.55</v>
      </c>
      <c r="AP813" s="62" t="n">
        <v>21.2</v>
      </c>
      <c r="AQ813" s="62" t="n">
        <v>377</v>
      </c>
      <c r="AR813" s="62" t="n">
        <f aca="false">AQ813*0.55</f>
        <v>207.35</v>
      </c>
      <c r="AS813" s="58" t="n">
        <v>0</v>
      </c>
      <c r="AT813" s="58" t="n">
        <v>8.12</v>
      </c>
      <c r="AU813" s="62" t="n">
        <v>21.6</v>
      </c>
      <c r="AV813" s="62" t="n">
        <v>484</v>
      </c>
      <c r="AW813" s="62" t="n">
        <f aca="false">AV813*0.55</f>
        <v>266.2</v>
      </c>
      <c r="AX813" s="62" t="n">
        <v>1</v>
      </c>
      <c r="AY813" s="58" t="n">
        <v>0</v>
      </c>
    </row>
    <row r="814" customFormat="false" ht="16.15" hidden="false" customHeight="false" outlineLevel="0" collapsed="false">
      <c r="A814" s="68" t="s">
        <v>228</v>
      </c>
      <c r="B814" s="2" t="s">
        <v>201</v>
      </c>
      <c r="C814" s="57" t="n">
        <v>8.13</v>
      </c>
      <c r="D814" s="62" t="n">
        <v>21.3</v>
      </c>
      <c r="E814" s="62" t="n">
        <v>53.2</v>
      </c>
      <c r="F814" s="62" t="n">
        <f aca="false">E814*0.7</f>
        <v>37.24</v>
      </c>
      <c r="G814" s="62" t="n">
        <v>0.45</v>
      </c>
      <c r="H814" s="58" t="n">
        <v>8.11</v>
      </c>
      <c r="I814" s="62" t="n">
        <v>20.8</v>
      </c>
      <c r="J814" s="63"/>
      <c r="K814" s="63"/>
      <c r="L814" s="62" t="n">
        <v>0.1</v>
      </c>
      <c r="M814" s="58" t="n">
        <v>8.12</v>
      </c>
      <c r="N814" s="62" t="n">
        <v>20.8</v>
      </c>
      <c r="O814" s="63"/>
      <c r="P814" s="63"/>
      <c r="Q814" s="62" t="n">
        <v>0.15</v>
      </c>
      <c r="R814" s="58" t="n">
        <v>8.1</v>
      </c>
      <c r="S814" s="62" t="n">
        <v>20.7</v>
      </c>
      <c r="T814" s="63"/>
      <c r="U814" s="63"/>
      <c r="V814" s="58" t="n">
        <v>0</v>
      </c>
      <c r="W814" s="58" t="n">
        <v>8.1</v>
      </c>
      <c r="X814" s="62" t="n">
        <v>20.7</v>
      </c>
      <c r="Y814" s="63"/>
      <c r="Z814" s="63"/>
      <c r="AA814" s="58" t="n">
        <v>0</v>
      </c>
      <c r="AB814" s="58" t="n">
        <v>8.09</v>
      </c>
      <c r="AC814" s="62" t="n">
        <v>20.6</v>
      </c>
      <c r="AD814" s="62" t="n">
        <v>53.2</v>
      </c>
      <c r="AE814" s="62" t="n">
        <f aca="false">AD814*0.7</f>
        <v>37.24</v>
      </c>
      <c r="AF814" s="62"/>
      <c r="AG814" s="58" t="n">
        <v>0</v>
      </c>
      <c r="AH814" s="62"/>
      <c r="AI814" s="58" t="n">
        <v>8.09</v>
      </c>
      <c r="AJ814" s="62" t="n">
        <v>20.6</v>
      </c>
      <c r="AK814" s="62" t="n">
        <v>53.2</v>
      </c>
      <c r="AL814" s="62" t="n">
        <f aca="false">AK814*0.7</f>
        <v>37.24</v>
      </c>
      <c r="AM814" s="62"/>
      <c r="AN814" s="58" t="n">
        <v>0</v>
      </c>
      <c r="AO814" s="58" t="n">
        <v>6.55</v>
      </c>
      <c r="AP814" s="62" t="n">
        <v>21.2</v>
      </c>
      <c r="AQ814" s="62" t="n">
        <v>333</v>
      </c>
      <c r="AR814" s="62" t="n">
        <f aca="false">AQ814*0.55</f>
        <v>183.15</v>
      </c>
      <c r="AS814" s="58" t="n">
        <v>0</v>
      </c>
      <c r="AT814" s="58" t="n">
        <v>8.22</v>
      </c>
      <c r="AU814" s="62" t="n">
        <v>21.4</v>
      </c>
      <c r="AV814" s="62" t="n">
        <v>483</v>
      </c>
      <c r="AW814" s="62" t="n">
        <f aca="false">AV814*0.55</f>
        <v>265.65</v>
      </c>
      <c r="AX814" s="62" t="n">
        <v>1</v>
      </c>
      <c r="AY814" s="58" t="n">
        <v>0</v>
      </c>
    </row>
    <row r="815" customFormat="false" ht="16.15" hidden="false" customHeight="false" outlineLevel="0" collapsed="false">
      <c r="A815" s="68" t="s">
        <v>229</v>
      </c>
      <c r="B815" s="2" t="s">
        <v>201</v>
      </c>
      <c r="C815" s="57" t="n">
        <v>8.18</v>
      </c>
      <c r="D815" s="62" t="n">
        <v>20.8</v>
      </c>
      <c r="E815" s="62" t="n">
        <v>53.1</v>
      </c>
      <c r="F815" s="62" t="n">
        <f aca="false">E815*0.7</f>
        <v>37.17</v>
      </c>
      <c r="G815" s="62" t="n">
        <v>0.48</v>
      </c>
      <c r="H815" s="58" t="n">
        <v>8.12</v>
      </c>
      <c r="I815" s="62" t="n">
        <v>20.7</v>
      </c>
      <c r="J815" s="63"/>
      <c r="K815" s="63"/>
      <c r="L815" s="62" t="n">
        <v>0.45</v>
      </c>
      <c r="M815" s="58" t="n">
        <v>8.12</v>
      </c>
      <c r="N815" s="62" t="n">
        <v>20.7</v>
      </c>
      <c r="O815" s="63"/>
      <c r="P815" s="63"/>
      <c r="Q815" s="62" t="n">
        <v>0.28</v>
      </c>
      <c r="R815" s="58" t="n">
        <v>8.1</v>
      </c>
      <c r="S815" s="62" t="n">
        <v>20.7</v>
      </c>
      <c r="T815" s="63"/>
      <c r="U815" s="63"/>
      <c r="V815" s="58" t="n">
        <v>0</v>
      </c>
      <c r="W815" s="58" t="n">
        <v>8.1</v>
      </c>
      <c r="X815" s="62" t="n">
        <v>20.7</v>
      </c>
      <c r="Y815" s="63"/>
      <c r="Z815" s="63"/>
      <c r="AA815" s="58" t="n">
        <v>0</v>
      </c>
      <c r="AB815" s="58" t="n">
        <v>8.08</v>
      </c>
      <c r="AC815" s="62" t="n">
        <v>20.8</v>
      </c>
      <c r="AD815" s="62" t="n">
        <v>53</v>
      </c>
      <c r="AE815" s="62" t="n">
        <f aca="false">AD815*0.7</f>
        <v>37.1</v>
      </c>
      <c r="AF815" s="62"/>
      <c r="AG815" s="58" t="n">
        <v>0</v>
      </c>
      <c r="AH815" s="62"/>
      <c r="AI815" s="58" t="n">
        <v>8.08</v>
      </c>
      <c r="AJ815" s="62" t="n">
        <v>20.8</v>
      </c>
      <c r="AK815" s="62" t="n">
        <v>53</v>
      </c>
      <c r="AL815" s="62" t="n">
        <f aca="false">AK815*0.7</f>
        <v>37.1</v>
      </c>
      <c r="AM815" s="62"/>
      <c r="AN815" s="58" t="n">
        <v>0</v>
      </c>
      <c r="AO815" s="58" t="n">
        <v>6.72</v>
      </c>
      <c r="AP815" s="62" t="n">
        <v>20.9</v>
      </c>
      <c r="AQ815" s="62" t="n">
        <v>386</v>
      </c>
      <c r="AR815" s="62" t="n">
        <f aca="false">AQ815*0.55</f>
        <v>212.3</v>
      </c>
      <c r="AS815" s="58" t="n">
        <v>0</v>
      </c>
      <c r="AT815" s="58" t="n">
        <v>8.33</v>
      </c>
      <c r="AU815" s="62" t="n">
        <v>21.2</v>
      </c>
      <c r="AV815" s="62" t="n">
        <v>484</v>
      </c>
      <c r="AW815" s="62" t="n">
        <f aca="false">AV815*0.55</f>
        <v>266.2</v>
      </c>
      <c r="AX815" s="62" t="n">
        <v>1</v>
      </c>
      <c r="AY815" s="58" t="n">
        <v>0</v>
      </c>
    </row>
    <row r="816" customFormat="false" ht="16.15" hidden="false" customHeight="false" outlineLevel="0" collapsed="false">
      <c r="A816" s="68" t="s">
        <v>230</v>
      </c>
      <c r="B816" s="2" t="s">
        <v>201</v>
      </c>
      <c r="C816" s="57" t="n">
        <v>8.13</v>
      </c>
      <c r="D816" s="62" t="n">
        <v>19.9</v>
      </c>
      <c r="E816" s="62" t="n">
        <v>53.2</v>
      </c>
      <c r="F816" s="62" t="n">
        <f aca="false">E816*0.7</f>
        <v>37.24</v>
      </c>
      <c r="G816" s="62" t="n">
        <v>1.85</v>
      </c>
      <c r="H816" s="58" t="n">
        <v>8.11</v>
      </c>
      <c r="I816" s="62" t="n">
        <v>20.1</v>
      </c>
      <c r="J816" s="63"/>
      <c r="K816" s="63"/>
      <c r="L816" s="62" t="n">
        <v>0.78</v>
      </c>
      <c r="M816" s="58" t="n">
        <v>20.1</v>
      </c>
      <c r="N816" s="62" t="n">
        <v>20.2</v>
      </c>
      <c r="O816" s="63"/>
      <c r="P816" s="63"/>
      <c r="Q816" s="62" t="n">
        <v>0.55</v>
      </c>
      <c r="R816" s="58" t="n">
        <v>8.06</v>
      </c>
      <c r="S816" s="62" t="n">
        <v>20.1</v>
      </c>
      <c r="T816" s="63"/>
      <c r="U816" s="63"/>
      <c r="V816" s="58" t="n">
        <v>0</v>
      </c>
      <c r="W816" s="58" t="n">
        <v>8</v>
      </c>
      <c r="X816" s="62" t="n">
        <v>20.1</v>
      </c>
      <c r="Y816" s="63"/>
      <c r="Z816" s="63"/>
      <c r="AA816" s="58" t="n">
        <v>0</v>
      </c>
      <c r="AB816" s="58" t="n">
        <v>8</v>
      </c>
      <c r="AC816" s="62" t="n">
        <v>20.2</v>
      </c>
      <c r="AD816" s="62" t="n">
        <v>53.1</v>
      </c>
      <c r="AE816" s="62" t="n">
        <f aca="false">AD816*0.7</f>
        <v>37.17</v>
      </c>
      <c r="AF816" s="62"/>
      <c r="AG816" s="58" t="n">
        <v>0</v>
      </c>
      <c r="AH816" s="62"/>
      <c r="AI816" s="58" t="n">
        <v>8</v>
      </c>
      <c r="AJ816" s="62" t="n">
        <v>20.2</v>
      </c>
      <c r="AK816" s="62" t="n">
        <v>53.1</v>
      </c>
      <c r="AL816" s="62" t="n">
        <f aca="false">AK816*0.7</f>
        <v>37.17</v>
      </c>
      <c r="AM816" s="62"/>
      <c r="AN816" s="58" t="n">
        <v>0</v>
      </c>
      <c r="AO816" s="58" t="n">
        <v>6.61</v>
      </c>
      <c r="AP816" s="62" t="n">
        <v>20.6</v>
      </c>
      <c r="AQ816" s="62" t="n">
        <v>370</v>
      </c>
      <c r="AR816" s="62" t="n">
        <f aca="false">AQ816*0.55</f>
        <v>203.5</v>
      </c>
      <c r="AS816" s="58" t="n">
        <v>0</v>
      </c>
      <c r="AT816" s="58" t="n">
        <v>8.38</v>
      </c>
      <c r="AU816" s="62" t="n">
        <v>20.8</v>
      </c>
      <c r="AV816" s="62" t="n">
        <v>478</v>
      </c>
      <c r="AW816" s="62" t="n">
        <f aca="false">AV816*0.55</f>
        <v>262.9</v>
      </c>
      <c r="AX816" s="62" t="n">
        <v>1</v>
      </c>
      <c r="AY816" s="58" t="n">
        <v>0</v>
      </c>
    </row>
    <row r="817" customFormat="false" ht="16.15" hidden="false" customHeight="false" outlineLevel="0" collapsed="false">
      <c r="A817" s="68" t="s">
        <v>231</v>
      </c>
      <c r="B817" s="2" t="s">
        <v>201</v>
      </c>
      <c r="C817" s="57" t="n">
        <v>8.13</v>
      </c>
      <c r="D817" s="62" t="n">
        <v>20.8</v>
      </c>
      <c r="E817" s="62" t="n">
        <v>53</v>
      </c>
      <c r="F817" s="62" t="n">
        <f aca="false">E817*0.7</f>
        <v>37.1</v>
      </c>
      <c r="G817" s="62" t="n">
        <v>0.53</v>
      </c>
      <c r="H817" s="58" t="n">
        <v>8.1</v>
      </c>
      <c r="I817" s="62" t="n">
        <v>20.4</v>
      </c>
      <c r="J817" s="63"/>
      <c r="K817" s="63"/>
      <c r="L817" s="62" t="n">
        <v>1.61</v>
      </c>
      <c r="M817" s="58" t="n">
        <v>8.1</v>
      </c>
      <c r="N817" s="62" t="n">
        <v>20.4</v>
      </c>
      <c r="O817" s="63"/>
      <c r="P817" s="63"/>
      <c r="Q817" s="62" t="n">
        <v>0.96</v>
      </c>
      <c r="R817" s="58" t="n">
        <v>8.09</v>
      </c>
      <c r="S817" s="62" t="n">
        <v>20.5</v>
      </c>
      <c r="T817" s="63"/>
      <c r="U817" s="63"/>
      <c r="V817" s="58" t="n">
        <v>0</v>
      </c>
      <c r="W817" s="58" t="n">
        <v>8.09</v>
      </c>
      <c r="X817" s="62" t="n">
        <v>20.5</v>
      </c>
      <c r="Y817" s="63"/>
      <c r="Z817" s="63"/>
      <c r="AA817" s="58" t="n">
        <v>0</v>
      </c>
      <c r="AB817" s="58" t="n">
        <v>8.08</v>
      </c>
      <c r="AC817" s="62" t="n">
        <v>20.6</v>
      </c>
      <c r="AD817" s="62" t="n">
        <v>53</v>
      </c>
      <c r="AE817" s="62" t="n">
        <f aca="false">AD817*0.7</f>
        <v>37.1</v>
      </c>
      <c r="AF817" s="62"/>
      <c r="AG817" s="58" t="n">
        <v>0</v>
      </c>
      <c r="AH817" s="62"/>
      <c r="AI817" s="58" t="n">
        <v>8.08</v>
      </c>
      <c r="AJ817" s="62" t="n">
        <v>20.6</v>
      </c>
      <c r="AK817" s="62" t="n">
        <v>53</v>
      </c>
      <c r="AL817" s="62" t="n">
        <f aca="false">AK817*0.7</f>
        <v>37.1</v>
      </c>
      <c r="AM817" s="62"/>
      <c r="AN817" s="58" t="n">
        <v>0</v>
      </c>
      <c r="AO817" s="58" t="n">
        <v>6.68</v>
      </c>
      <c r="AP817" s="62" t="n">
        <v>21.1</v>
      </c>
      <c r="AQ817" s="62" t="n">
        <v>346</v>
      </c>
      <c r="AR817" s="62" t="n">
        <f aca="false">AQ817*0.55</f>
        <v>190.3</v>
      </c>
      <c r="AS817" s="58" t="n">
        <v>0</v>
      </c>
      <c r="AT817" s="58" t="n">
        <v>8.25</v>
      </c>
      <c r="AU817" s="62" t="n">
        <v>21.3</v>
      </c>
      <c r="AV817" s="62" t="n">
        <v>468</v>
      </c>
      <c r="AW817" s="62" t="n">
        <f aca="false">AV817*0.55</f>
        <v>257.4</v>
      </c>
      <c r="AX817" s="62" t="n">
        <v>1</v>
      </c>
      <c r="AY817" s="58" t="n">
        <v>0</v>
      </c>
    </row>
    <row r="818" customFormat="false" ht="16.15" hidden="false" customHeight="false" outlineLevel="0" collapsed="false">
      <c r="A818" s="68" t="s">
        <v>232</v>
      </c>
      <c r="B818" s="2" t="s">
        <v>201</v>
      </c>
      <c r="C818" s="57" t="n">
        <v>8.13</v>
      </c>
      <c r="D818" s="62" t="n">
        <v>20</v>
      </c>
      <c r="E818" s="62" t="n">
        <v>53.4</v>
      </c>
      <c r="F818" s="62" t="n">
        <f aca="false">E818*0.7</f>
        <v>37.38</v>
      </c>
      <c r="G818" s="62" t="n">
        <v>0.01</v>
      </c>
      <c r="H818" s="58" t="n">
        <v>8.08</v>
      </c>
      <c r="I818" s="62" t="n">
        <v>19.9</v>
      </c>
      <c r="J818" s="63"/>
      <c r="K818" s="63"/>
      <c r="L818" s="62" t="n">
        <v>0.76</v>
      </c>
      <c r="M818" s="58" t="n">
        <v>709</v>
      </c>
      <c r="N818" s="62" t="n">
        <v>20</v>
      </c>
      <c r="O818" s="63"/>
      <c r="P818" s="63"/>
      <c r="Q818" s="62" t="n">
        <v>0.68</v>
      </c>
      <c r="R818" s="58" t="n">
        <v>8.07</v>
      </c>
      <c r="S818" s="62" t="n">
        <v>20</v>
      </c>
      <c r="T818" s="63"/>
      <c r="U818" s="63"/>
      <c r="V818" s="58" t="n">
        <v>0</v>
      </c>
      <c r="W818" s="58" t="n">
        <v>8.07</v>
      </c>
      <c r="X818" s="62" t="n">
        <v>20</v>
      </c>
      <c r="Y818" s="63"/>
      <c r="Z818" s="63"/>
      <c r="AA818" s="58" t="n">
        <v>0</v>
      </c>
      <c r="AB818" s="58" t="n">
        <v>8.06</v>
      </c>
      <c r="AC818" s="62" t="n">
        <v>19.7</v>
      </c>
      <c r="AD818" s="62" t="n">
        <v>53.4</v>
      </c>
      <c r="AE818" s="62" t="n">
        <f aca="false">AD818*0.7</f>
        <v>37.38</v>
      </c>
      <c r="AF818" s="62"/>
      <c r="AG818" s="58" t="n">
        <v>0</v>
      </c>
      <c r="AH818" s="62"/>
      <c r="AI818" s="58" t="n">
        <v>8.06</v>
      </c>
      <c r="AJ818" s="62" t="n">
        <v>19.7</v>
      </c>
      <c r="AK818" s="62" t="n">
        <v>53.4</v>
      </c>
      <c r="AL818" s="62" t="n">
        <f aca="false">AK818*0.7</f>
        <v>37.38</v>
      </c>
      <c r="AM818" s="62"/>
      <c r="AN818" s="58" t="n">
        <v>0</v>
      </c>
      <c r="AO818" s="58" t="n">
        <v>6.6</v>
      </c>
      <c r="AP818" s="62" t="n">
        <v>20.3</v>
      </c>
      <c r="AQ818" s="62" t="n">
        <v>355</v>
      </c>
      <c r="AR818" s="62" t="n">
        <f aca="false">AQ818*0.55</f>
        <v>195.25</v>
      </c>
      <c r="AS818" s="58" t="n">
        <v>0</v>
      </c>
      <c r="AT818" s="58" t="n">
        <v>8.1</v>
      </c>
      <c r="AU818" s="62" t="n">
        <v>20.8</v>
      </c>
      <c r="AV818" s="62" t="n">
        <v>466</v>
      </c>
      <c r="AW818" s="62" t="n">
        <f aca="false">AV818*0.55</f>
        <v>256.3</v>
      </c>
      <c r="AX818" s="62" t="n">
        <v>1</v>
      </c>
      <c r="AY818" s="58" t="n">
        <v>0</v>
      </c>
    </row>
    <row r="819" customFormat="false" ht="16.15" hidden="false" customHeight="false" outlineLevel="0" collapsed="false">
      <c r="A819" s="68" t="s">
        <v>233</v>
      </c>
      <c r="B819" s="2" t="s">
        <v>201</v>
      </c>
      <c r="C819" s="57" t="n">
        <v>8.12</v>
      </c>
      <c r="D819" s="62" t="n">
        <v>20.6</v>
      </c>
      <c r="E819" s="62" t="n">
        <v>53.3</v>
      </c>
      <c r="F819" s="62" t="n">
        <f aca="false">E819*0.7</f>
        <v>37.31</v>
      </c>
      <c r="G819" s="62" t="n">
        <v>0.01</v>
      </c>
      <c r="H819" s="58" t="n">
        <v>8.11</v>
      </c>
      <c r="I819" s="62" t="n">
        <v>20.1</v>
      </c>
      <c r="J819" s="63"/>
      <c r="K819" s="63"/>
      <c r="L819" s="62" t="n">
        <v>0.78</v>
      </c>
      <c r="M819" s="58" t="n">
        <v>8.1</v>
      </c>
      <c r="N819" s="62" t="n">
        <v>20.1</v>
      </c>
      <c r="O819" s="63"/>
      <c r="P819" s="63"/>
      <c r="Q819" s="62" t="n">
        <v>0.55</v>
      </c>
      <c r="R819" s="58" t="n">
        <v>8.09</v>
      </c>
      <c r="S819" s="62" t="n">
        <v>20</v>
      </c>
      <c r="T819" s="63"/>
      <c r="U819" s="63"/>
      <c r="V819" s="58" t="n">
        <v>0</v>
      </c>
      <c r="W819" s="58" t="n">
        <v>8.08</v>
      </c>
      <c r="X819" s="62" t="n">
        <v>20</v>
      </c>
      <c r="Y819" s="63"/>
      <c r="Z819" s="63"/>
      <c r="AA819" s="58" t="n">
        <v>0</v>
      </c>
      <c r="AB819" s="58" t="n">
        <v>8.06</v>
      </c>
      <c r="AC819" s="62" t="n">
        <v>19.8</v>
      </c>
      <c r="AD819" s="62" t="n">
        <v>53.2</v>
      </c>
      <c r="AE819" s="62" t="n">
        <f aca="false">AD819*0.7</f>
        <v>37.24</v>
      </c>
      <c r="AF819" s="62"/>
      <c r="AG819" s="58" t="n">
        <v>0</v>
      </c>
      <c r="AH819" s="62"/>
      <c r="AI819" s="71"/>
      <c r="AJ819" s="72"/>
      <c r="AK819" s="72"/>
      <c r="AL819" s="72"/>
      <c r="AM819" s="72"/>
      <c r="AN819" s="71"/>
      <c r="AO819" s="71"/>
      <c r="AP819" s="72"/>
      <c r="AQ819" s="72"/>
      <c r="AR819" s="72"/>
      <c r="AS819" s="71"/>
      <c r="AT819" s="58" t="n">
        <v>8.47</v>
      </c>
      <c r="AU819" s="62" t="n">
        <v>21</v>
      </c>
      <c r="AV819" s="62" t="n">
        <v>459</v>
      </c>
      <c r="AW819" s="62" t="n">
        <f aca="false">AV819*0.55</f>
        <v>252.45</v>
      </c>
      <c r="AX819" s="73" t="n">
        <v>0.2</v>
      </c>
      <c r="AY819" s="58" t="n">
        <v>0</v>
      </c>
    </row>
    <row r="820" customFormat="false" ht="16.15" hidden="false" customHeight="false" outlineLevel="0" collapsed="false">
      <c r="A820" s="68" t="s">
        <v>234</v>
      </c>
      <c r="B820" s="2" t="s">
        <v>201</v>
      </c>
      <c r="C820" s="57" t="n">
        <v>8.1</v>
      </c>
      <c r="D820" s="62" t="n">
        <v>20.4</v>
      </c>
      <c r="E820" s="62" t="n">
        <v>53.4</v>
      </c>
      <c r="F820" s="62" t="n">
        <f aca="false">E820*0.7</f>
        <v>37.38</v>
      </c>
      <c r="G820" s="62" t="n">
        <v>0.01</v>
      </c>
      <c r="H820" s="58" t="n">
        <v>8.09</v>
      </c>
      <c r="I820" s="62" t="n">
        <v>20.4</v>
      </c>
      <c r="J820" s="63"/>
      <c r="K820" s="63"/>
      <c r="L820" s="62" t="n">
        <v>0.88</v>
      </c>
      <c r="M820" s="58" t="n">
        <v>8.08</v>
      </c>
      <c r="N820" s="62" t="n">
        <v>20.4</v>
      </c>
      <c r="O820" s="63"/>
      <c r="P820" s="63"/>
      <c r="Q820" s="62" t="n">
        <v>0.79</v>
      </c>
      <c r="R820" s="58" t="n">
        <v>8.06</v>
      </c>
      <c r="S820" s="62" t="n">
        <v>20.4</v>
      </c>
      <c r="T820" s="63"/>
      <c r="U820" s="63"/>
      <c r="V820" s="58" t="n">
        <v>0</v>
      </c>
      <c r="W820" s="58" t="n">
        <v>8.05</v>
      </c>
      <c r="X820" s="62" t="n">
        <v>20.4</v>
      </c>
      <c r="Y820" s="63"/>
      <c r="Z820" s="63"/>
      <c r="AA820" s="58" t="n">
        <v>0</v>
      </c>
      <c r="AB820" s="58" t="n">
        <v>8.03</v>
      </c>
      <c r="AC820" s="62" t="n">
        <v>20.7</v>
      </c>
      <c r="AD820" s="62" t="n">
        <v>53.4</v>
      </c>
      <c r="AE820" s="62" t="n">
        <f aca="false">AD820*0.7</f>
        <v>37.38</v>
      </c>
      <c r="AF820" s="62"/>
      <c r="AG820" s="58" t="n">
        <v>0</v>
      </c>
      <c r="AH820" s="62"/>
      <c r="AI820" s="74" t="n">
        <v>8.03</v>
      </c>
      <c r="AJ820" s="65" t="n">
        <v>20.5</v>
      </c>
      <c r="AK820" s="62" t="n">
        <v>53.4</v>
      </c>
      <c r="AL820" s="62" t="n">
        <f aca="false">AK820*0.7</f>
        <v>37.38</v>
      </c>
      <c r="AM820" s="65"/>
      <c r="AN820" s="58" t="n">
        <v>0</v>
      </c>
      <c r="AO820" s="74" t="n">
        <v>6.4</v>
      </c>
      <c r="AP820" s="65" t="n">
        <v>20.7</v>
      </c>
      <c r="AQ820" s="65" t="n">
        <v>317</v>
      </c>
      <c r="AR820" s="62" t="n">
        <f aca="false">AQ820*0.55</f>
        <v>174.35</v>
      </c>
      <c r="AS820" s="58" t="n">
        <v>0</v>
      </c>
      <c r="AT820" s="58" t="n">
        <v>8.19</v>
      </c>
      <c r="AU820" s="62" t="n">
        <v>21.3</v>
      </c>
      <c r="AV820" s="62" t="n">
        <v>459</v>
      </c>
      <c r="AW820" s="62" t="n">
        <f aca="false">AV820*0.55</f>
        <v>252.45</v>
      </c>
      <c r="AX820" s="65" t="n">
        <v>1</v>
      </c>
      <c r="AY820" s="58" t="n">
        <v>0</v>
      </c>
    </row>
    <row r="821" customFormat="false" ht="16.15" hidden="false" customHeight="false" outlineLevel="0" collapsed="false">
      <c r="A821" s="68" t="s">
        <v>235</v>
      </c>
      <c r="B821" s="2" t="s">
        <v>201</v>
      </c>
      <c r="C821" s="57" t="n">
        <v>8.12</v>
      </c>
      <c r="D821" s="62" t="n">
        <v>20</v>
      </c>
      <c r="E821" s="62" t="n">
        <v>53.4</v>
      </c>
      <c r="F821" s="62" t="n">
        <f aca="false">E821*0.7</f>
        <v>37.38</v>
      </c>
      <c r="G821" s="62" t="n">
        <v>0.29</v>
      </c>
      <c r="H821" s="58" t="n">
        <v>8.1</v>
      </c>
      <c r="I821" s="62" t="n">
        <v>20.2</v>
      </c>
      <c r="J821" s="63"/>
      <c r="K821" s="63"/>
      <c r="L821" s="62" t="n">
        <v>0.74</v>
      </c>
      <c r="M821" s="58" t="n">
        <v>8.1</v>
      </c>
      <c r="N821" s="62" t="n">
        <v>20.1</v>
      </c>
      <c r="O821" s="63"/>
      <c r="P821" s="63"/>
      <c r="Q821" s="62" t="n">
        <v>0.62</v>
      </c>
      <c r="R821" s="58" t="n">
        <v>8.1</v>
      </c>
      <c r="S821" s="62" t="n">
        <v>20.1</v>
      </c>
      <c r="T821" s="63"/>
      <c r="U821" s="63"/>
      <c r="V821" s="58" t="n">
        <v>0</v>
      </c>
      <c r="W821" s="58" t="n">
        <v>8.08</v>
      </c>
      <c r="X821" s="62" t="n">
        <v>20.1</v>
      </c>
      <c r="Y821" s="63"/>
      <c r="Z821" s="63"/>
      <c r="AA821" s="58" t="n">
        <v>0</v>
      </c>
      <c r="AB821" s="58" t="n">
        <v>8.08</v>
      </c>
      <c r="AC821" s="62" t="n">
        <v>20.1</v>
      </c>
      <c r="AD821" s="62" t="n">
        <v>53.4</v>
      </c>
      <c r="AE821" s="62" t="n">
        <f aca="false">AD821*0.7</f>
        <v>37.38</v>
      </c>
      <c r="AF821" s="62"/>
      <c r="AG821" s="58" t="n">
        <v>0</v>
      </c>
      <c r="AH821" s="62"/>
      <c r="AI821" s="74" t="n">
        <v>8.05</v>
      </c>
      <c r="AJ821" s="65" t="n">
        <v>20.1</v>
      </c>
      <c r="AK821" s="62" t="n">
        <v>53.4</v>
      </c>
      <c r="AL821" s="62" t="n">
        <f aca="false">AK821*0.7</f>
        <v>37.38</v>
      </c>
      <c r="AM821" s="65"/>
      <c r="AN821" s="58" t="n">
        <v>0</v>
      </c>
      <c r="AO821" s="74" t="n">
        <v>6.48</v>
      </c>
      <c r="AP821" s="65" t="n">
        <v>20.5</v>
      </c>
      <c r="AQ821" s="65" t="n">
        <v>404</v>
      </c>
      <c r="AR821" s="62" t="n">
        <f aca="false">AQ821*0.55</f>
        <v>222.2</v>
      </c>
      <c r="AS821" s="58" t="n">
        <v>0</v>
      </c>
      <c r="AT821" s="58" t="n">
        <v>8.18</v>
      </c>
      <c r="AU821" s="62" t="n">
        <v>21</v>
      </c>
      <c r="AV821" s="62" t="n">
        <v>465</v>
      </c>
      <c r="AW821" s="62" t="n">
        <f aca="false">AV821*0.55</f>
        <v>255.75</v>
      </c>
      <c r="AX821" s="65" t="n">
        <v>1</v>
      </c>
      <c r="AY821" s="58" t="n">
        <v>0</v>
      </c>
    </row>
    <row r="822" customFormat="false" ht="16.15" hidden="false" customHeight="false" outlineLevel="0" collapsed="false">
      <c r="A822" s="68" t="s">
        <v>236</v>
      </c>
      <c r="B822" s="2" t="s">
        <v>201</v>
      </c>
      <c r="C822" s="57" t="n">
        <v>8.11</v>
      </c>
      <c r="D822" s="62" t="n">
        <v>20.7</v>
      </c>
      <c r="E822" s="62" t="n">
        <v>53.5</v>
      </c>
      <c r="F822" s="62" t="n">
        <f aca="false">E822*0.7</f>
        <v>37.45</v>
      </c>
      <c r="G822" s="62" t="n">
        <v>0.01</v>
      </c>
      <c r="H822" s="58" t="n">
        <v>8.1</v>
      </c>
      <c r="I822" s="62" t="n">
        <v>20.2</v>
      </c>
      <c r="J822" s="63"/>
      <c r="K822" s="63"/>
      <c r="L822" s="62" t="n">
        <v>0.46</v>
      </c>
      <c r="M822" s="58" t="n">
        <v>8.9</v>
      </c>
      <c r="N822" s="62" t="n">
        <v>20.2</v>
      </c>
      <c r="O822" s="63"/>
      <c r="P822" s="63"/>
      <c r="Q822" s="62" t="n">
        <v>0.35</v>
      </c>
      <c r="R822" s="58" t="n">
        <v>8.07</v>
      </c>
      <c r="S822" s="62" t="n">
        <v>20.1</v>
      </c>
      <c r="T822" s="63"/>
      <c r="U822" s="63"/>
      <c r="V822" s="58" t="n">
        <v>0</v>
      </c>
      <c r="W822" s="58" t="n">
        <v>8.07</v>
      </c>
      <c r="X822" s="62" t="n">
        <v>20.1</v>
      </c>
      <c r="Y822" s="63"/>
      <c r="Z822" s="63"/>
      <c r="AA822" s="58" t="n">
        <v>0</v>
      </c>
      <c r="AB822" s="58" t="n">
        <v>8.06</v>
      </c>
      <c r="AC822" s="62" t="n">
        <v>20</v>
      </c>
      <c r="AD822" s="62" t="n">
        <v>53.5</v>
      </c>
      <c r="AE822" s="62" t="n">
        <f aca="false">AD822*0.7</f>
        <v>37.45</v>
      </c>
      <c r="AF822" s="62"/>
      <c r="AG822" s="58" t="n">
        <v>0</v>
      </c>
      <c r="AH822" s="62"/>
      <c r="AI822" s="74" t="n">
        <v>8.06</v>
      </c>
      <c r="AJ822" s="65" t="n">
        <v>20.1</v>
      </c>
      <c r="AK822" s="62" t="n">
        <v>53.5</v>
      </c>
      <c r="AL822" s="62" t="n">
        <f aca="false">AK822*0.7</f>
        <v>37.45</v>
      </c>
      <c r="AM822" s="65"/>
      <c r="AN822" s="58" t="n">
        <v>0</v>
      </c>
      <c r="AO822" s="74" t="n">
        <v>6.4</v>
      </c>
      <c r="AP822" s="65" t="n">
        <v>20.4</v>
      </c>
      <c r="AQ822" s="65" t="n">
        <v>354</v>
      </c>
      <c r="AR822" s="62" t="n">
        <f aca="false">AQ822*0.55</f>
        <v>194.7</v>
      </c>
      <c r="AS822" s="58" t="n">
        <v>0</v>
      </c>
      <c r="AT822" s="58" t="n">
        <v>8.47</v>
      </c>
      <c r="AU822" s="62" t="n">
        <v>21</v>
      </c>
      <c r="AV822" s="62" t="n">
        <v>462</v>
      </c>
      <c r="AW822" s="62" t="n">
        <f aca="false">AV822*0.55</f>
        <v>254.1</v>
      </c>
      <c r="AX822" s="65" t="n">
        <v>1</v>
      </c>
      <c r="AY822" s="58" t="n">
        <v>0</v>
      </c>
    </row>
    <row r="823" customFormat="false" ht="16.15" hidden="false" customHeight="false" outlineLevel="0" collapsed="false">
      <c r="A823" s="68" t="s">
        <v>237</v>
      </c>
      <c r="B823" s="2" t="s">
        <v>201</v>
      </c>
      <c r="C823" s="57" t="n">
        <v>8.13</v>
      </c>
      <c r="D823" s="62" t="n">
        <v>20.6</v>
      </c>
      <c r="E823" s="62" t="n">
        <v>53.2</v>
      </c>
      <c r="F823" s="62" t="n">
        <f aca="false">E823*0.7</f>
        <v>37.24</v>
      </c>
      <c r="G823" s="62" t="n">
        <v>0.44</v>
      </c>
      <c r="H823" s="58" t="n">
        <v>8.1</v>
      </c>
      <c r="I823" s="62" t="n">
        <v>19.8</v>
      </c>
      <c r="J823" s="63"/>
      <c r="K823" s="63"/>
      <c r="L823" s="62" t="n">
        <v>0.32</v>
      </c>
      <c r="M823" s="58" t="n">
        <v>8.1</v>
      </c>
      <c r="N823" s="62" t="n">
        <v>19.8</v>
      </c>
      <c r="O823" s="63"/>
      <c r="P823" s="63"/>
      <c r="Q823" s="62" t="n">
        <v>0.27</v>
      </c>
      <c r="R823" s="58" t="n">
        <v>8.08</v>
      </c>
      <c r="S823" s="62" t="n">
        <v>19.9</v>
      </c>
      <c r="T823" s="63"/>
      <c r="U823" s="63"/>
      <c r="V823" s="58" t="n">
        <v>0</v>
      </c>
      <c r="W823" s="58" t="n">
        <v>8.08</v>
      </c>
      <c r="X823" s="62" t="n">
        <v>19.9</v>
      </c>
      <c r="Y823" s="63"/>
      <c r="Z823" s="63"/>
      <c r="AA823" s="58" t="n">
        <v>0</v>
      </c>
      <c r="AB823" s="58" t="n">
        <v>8.07</v>
      </c>
      <c r="AC823" s="62" t="n">
        <v>20</v>
      </c>
      <c r="AD823" s="62" t="n">
        <v>53.1</v>
      </c>
      <c r="AE823" s="62" t="n">
        <f aca="false">AD823*0.7</f>
        <v>37.17</v>
      </c>
      <c r="AF823" s="62"/>
      <c r="AG823" s="58" t="n">
        <v>0</v>
      </c>
      <c r="AH823" s="62"/>
      <c r="AI823" s="74" t="n">
        <v>8.07</v>
      </c>
      <c r="AJ823" s="65" t="n">
        <v>20</v>
      </c>
      <c r="AK823" s="62" t="n">
        <v>53.1</v>
      </c>
      <c r="AL823" s="62" t="n">
        <f aca="false">AK823*0.7</f>
        <v>37.17</v>
      </c>
      <c r="AM823" s="65"/>
      <c r="AN823" s="58" t="n">
        <v>0</v>
      </c>
      <c r="AO823" s="74" t="n">
        <v>6.44</v>
      </c>
      <c r="AP823" s="65" t="n">
        <v>20.2</v>
      </c>
      <c r="AQ823" s="65" t="n">
        <v>346</v>
      </c>
      <c r="AR823" s="62" t="n">
        <f aca="false">AQ823*0.55</f>
        <v>190.3</v>
      </c>
      <c r="AS823" s="58" t="n">
        <v>0</v>
      </c>
      <c r="AT823" s="58" t="n">
        <v>8.48</v>
      </c>
      <c r="AU823" s="62" t="n">
        <v>20.8</v>
      </c>
      <c r="AV823" s="62" t="n">
        <v>462</v>
      </c>
      <c r="AW823" s="62" t="n">
        <f aca="false">AV823*0.55</f>
        <v>254.1</v>
      </c>
      <c r="AX823" s="65" t="n">
        <v>1</v>
      </c>
      <c r="AY823" s="58" t="n">
        <v>0</v>
      </c>
    </row>
    <row r="824" customFormat="false" ht="16.15" hidden="false" customHeight="false" outlineLevel="0" collapsed="false">
      <c r="A824" s="68" t="s">
        <v>238</v>
      </c>
      <c r="B824" s="2" t="s">
        <v>201</v>
      </c>
      <c r="C824" s="57" t="n">
        <v>8.13</v>
      </c>
      <c r="D824" s="62" t="n">
        <v>19.9</v>
      </c>
      <c r="E824" s="62" t="n">
        <v>535</v>
      </c>
      <c r="F824" s="62" t="n">
        <f aca="false">E824*0.7</f>
        <v>374.5</v>
      </c>
      <c r="G824" s="62" t="n">
        <v>0.15</v>
      </c>
      <c r="H824" s="58" t="n">
        <v>8.12</v>
      </c>
      <c r="I824" s="62" t="n">
        <v>19.4</v>
      </c>
      <c r="J824" s="63"/>
      <c r="K824" s="63"/>
      <c r="L824" s="62" t="n">
        <v>0.19</v>
      </c>
      <c r="M824" s="58" t="n">
        <v>8.12</v>
      </c>
      <c r="N824" s="62" t="n">
        <v>19.4</v>
      </c>
      <c r="O824" s="63"/>
      <c r="P824" s="63"/>
      <c r="Q824" s="62" t="n">
        <v>0.25</v>
      </c>
      <c r="R824" s="58" t="n">
        <v>8.11</v>
      </c>
      <c r="S824" s="62" t="n">
        <v>19.3</v>
      </c>
      <c r="T824" s="63"/>
      <c r="U824" s="63"/>
      <c r="V824" s="58" t="n">
        <v>0</v>
      </c>
      <c r="W824" s="58" t="n">
        <v>8.11</v>
      </c>
      <c r="X824" s="62" t="n">
        <v>19.3</v>
      </c>
      <c r="Y824" s="63"/>
      <c r="Z824" s="63"/>
      <c r="AA824" s="58" t="n">
        <v>0</v>
      </c>
      <c r="AB824" s="58" t="n">
        <v>8.1</v>
      </c>
      <c r="AC824" s="62" t="n">
        <v>19.3</v>
      </c>
      <c r="AD824" s="62" t="n">
        <v>53.4</v>
      </c>
      <c r="AE824" s="62" t="n">
        <f aca="false">AD824*0.7</f>
        <v>37.38</v>
      </c>
      <c r="AF824" s="62"/>
      <c r="AG824" s="58" t="n">
        <v>0</v>
      </c>
      <c r="AH824" s="62"/>
      <c r="AI824" s="74" t="n">
        <v>8.1</v>
      </c>
      <c r="AJ824" s="65" t="n">
        <v>19.3</v>
      </c>
      <c r="AK824" s="62" t="n">
        <v>53.4</v>
      </c>
      <c r="AL824" s="62" t="n">
        <f aca="false">AK824*0.7</f>
        <v>37.38</v>
      </c>
      <c r="AM824" s="65"/>
      <c r="AN824" s="58" t="n">
        <v>0</v>
      </c>
      <c r="AO824" s="74" t="n">
        <v>6.47</v>
      </c>
      <c r="AP824" s="65" t="n">
        <v>20.2</v>
      </c>
      <c r="AQ824" s="65" t="n">
        <v>342</v>
      </c>
      <c r="AR824" s="62" t="n">
        <f aca="false">AQ824*0.55</f>
        <v>188.1</v>
      </c>
      <c r="AS824" s="58" t="n">
        <v>0</v>
      </c>
      <c r="AT824" s="58" t="n">
        <v>8.37</v>
      </c>
      <c r="AU824" s="62" t="n">
        <v>20.9</v>
      </c>
      <c r="AV824" s="62" t="n">
        <v>472</v>
      </c>
      <c r="AW824" s="62" t="n">
        <f aca="false">AV824*0.55</f>
        <v>259.6</v>
      </c>
      <c r="AX824" s="65" t="n">
        <v>1</v>
      </c>
      <c r="AY824" s="58" t="n">
        <v>0</v>
      </c>
    </row>
    <row r="825" customFormat="false" ht="16.15" hidden="false" customHeight="false" outlineLevel="0" collapsed="false">
      <c r="A825" s="66" t="n">
        <v>45303</v>
      </c>
      <c r="B825" s="2" t="s">
        <v>201</v>
      </c>
      <c r="C825" s="57" t="n">
        <v>8.1</v>
      </c>
      <c r="D825" s="62" t="n">
        <v>19.9</v>
      </c>
      <c r="E825" s="62" t="n">
        <v>53.4</v>
      </c>
      <c r="F825" s="62" t="n">
        <f aca="false">E825*0.7</f>
        <v>37.38</v>
      </c>
      <c r="G825" s="58" t="n">
        <v>0.01</v>
      </c>
      <c r="H825" s="58" t="n">
        <v>8.05</v>
      </c>
      <c r="I825" s="62" t="n">
        <v>19.5</v>
      </c>
      <c r="J825" s="63"/>
      <c r="K825" s="63"/>
      <c r="L825" s="62" t="n">
        <v>0.17</v>
      </c>
      <c r="M825" s="58" t="n">
        <v>8.05</v>
      </c>
      <c r="N825" s="62" t="n">
        <v>19.5</v>
      </c>
      <c r="O825" s="63"/>
      <c r="P825" s="63"/>
      <c r="Q825" s="62" t="n">
        <v>0.12</v>
      </c>
      <c r="R825" s="58" t="n">
        <v>8.02</v>
      </c>
      <c r="S825" s="62" t="n">
        <v>19.5</v>
      </c>
      <c r="T825" s="63"/>
      <c r="U825" s="63"/>
      <c r="V825" s="58" t="n">
        <v>0</v>
      </c>
      <c r="W825" s="58" t="n">
        <v>8.03</v>
      </c>
      <c r="X825" s="62" t="n">
        <v>19.5</v>
      </c>
      <c r="Y825" s="63"/>
      <c r="Z825" s="63"/>
      <c r="AA825" s="58" t="n">
        <v>0</v>
      </c>
      <c r="AB825" s="58" t="n">
        <v>8</v>
      </c>
      <c r="AC825" s="62" t="n">
        <v>19.6</v>
      </c>
      <c r="AD825" s="62" t="n">
        <v>53.2</v>
      </c>
      <c r="AE825" s="62" t="n">
        <f aca="false">AD825*0.7</f>
        <v>37.24</v>
      </c>
      <c r="AF825" s="62"/>
      <c r="AG825" s="58" t="n">
        <v>0</v>
      </c>
      <c r="AH825" s="62"/>
      <c r="AI825" s="58" t="n">
        <v>8</v>
      </c>
      <c r="AJ825" s="62" t="n">
        <v>19.7</v>
      </c>
      <c r="AK825" s="62" t="n">
        <v>53.2</v>
      </c>
      <c r="AL825" s="62" t="n">
        <f aca="false">AK825*0.7</f>
        <v>37.24</v>
      </c>
      <c r="AM825" s="62"/>
      <c r="AN825" s="58" t="n">
        <v>0</v>
      </c>
      <c r="AO825" s="58" t="n">
        <v>6.3</v>
      </c>
      <c r="AP825" s="62" t="n">
        <v>20.2</v>
      </c>
      <c r="AQ825" s="62" t="n">
        <v>347</v>
      </c>
      <c r="AR825" s="62" t="n">
        <f aca="false">0.55*AQ825</f>
        <v>190.85</v>
      </c>
      <c r="AS825" s="58" t="n">
        <v>0</v>
      </c>
      <c r="AT825" s="58" t="n">
        <v>8.37</v>
      </c>
      <c r="AU825" s="62" t="n">
        <v>20.4</v>
      </c>
      <c r="AV825" s="62" t="n">
        <v>455</v>
      </c>
      <c r="AW825" s="62" t="n">
        <f aca="false">0.55*AV825</f>
        <v>250.25</v>
      </c>
      <c r="AX825" s="62" t="n">
        <v>1</v>
      </c>
      <c r="AY825" s="58" t="n">
        <v>0</v>
      </c>
    </row>
    <row r="826" customFormat="false" ht="16.15" hidden="false" customHeight="false" outlineLevel="0" collapsed="false">
      <c r="A826" s="66" t="n">
        <v>45334</v>
      </c>
      <c r="B826" s="2" t="s">
        <v>201</v>
      </c>
      <c r="C826" s="57" t="n">
        <v>8.06</v>
      </c>
      <c r="D826" s="62" t="n">
        <v>19.5</v>
      </c>
      <c r="E826" s="62" t="n">
        <v>53.4</v>
      </c>
      <c r="F826" s="62" t="n">
        <f aca="false">E826*0.7</f>
        <v>37.38</v>
      </c>
      <c r="G826" s="58" t="n">
        <v>0.01</v>
      </c>
      <c r="H826" s="58" t="n">
        <v>8.03</v>
      </c>
      <c r="I826" s="62" t="n">
        <v>19.6</v>
      </c>
      <c r="J826" s="63"/>
      <c r="K826" s="63"/>
      <c r="L826" s="62" t="n">
        <v>0.25</v>
      </c>
      <c r="M826" s="58" t="n">
        <v>8.03</v>
      </c>
      <c r="N826" s="62" t="n">
        <v>19.5</v>
      </c>
      <c r="O826" s="63"/>
      <c r="P826" s="63"/>
      <c r="Q826" s="62" t="n">
        <v>0.23</v>
      </c>
      <c r="R826" s="58" t="n">
        <v>8</v>
      </c>
      <c r="S826" s="62" t="n">
        <v>19.4</v>
      </c>
      <c r="T826" s="63"/>
      <c r="U826" s="63"/>
      <c r="V826" s="58" t="n">
        <v>0</v>
      </c>
      <c r="W826" s="58" t="n">
        <v>8.01</v>
      </c>
      <c r="X826" s="62" t="n">
        <v>19.4</v>
      </c>
      <c r="Y826" s="63"/>
      <c r="Z826" s="63"/>
      <c r="AA826" s="58" t="n">
        <v>0</v>
      </c>
      <c r="AB826" s="58" t="n">
        <v>7.98</v>
      </c>
      <c r="AC826" s="62" t="n">
        <v>19.3</v>
      </c>
      <c r="AD826" s="62" t="n">
        <v>53.4</v>
      </c>
      <c r="AE826" s="62" t="n">
        <f aca="false">AD826*0.7</f>
        <v>37.38</v>
      </c>
      <c r="AF826" s="62"/>
      <c r="AG826" s="58" t="n">
        <v>0</v>
      </c>
      <c r="AH826" s="62"/>
      <c r="AI826" s="58" t="n">
        <v>7.98</v>
      </c>
      <c r="AJ826" s="62" t="n">
        <v>19.4</v>
      </c>
      <c r="AK826" s="62" t="n">
        <v>53.4</v>
      </c>
      <c r="AL826" s="62" t="n">
        <f aca="false">AK826*0.7</f>
        <v>37.38</v>
      </c>
      <c r="AM826" s="62"/>
      <c r="AN826" s="58" t="n">
        <v>0</v>
      </c>
      <c r="AO826" s="58" t="n">
        <v>6.4</v>
      </c>
      <c r="AP826" s="62" t="n">
        <v>20.1</v>
      </c>
      <c r="AQ826" s="62" t="n">
        <v>348</v>
      </c>
      <c r="AR826" s="62" t="n">
        <f aca="false">0.55*AQ826</f>
        <v>191.4</v>
      </c>
      <c r="AS826" s="58" t="n">
        <v>0</v>
      </c>
      <c r="AT826" s="58" t="n">
        <v>8.12</v>
      </c>
      <c r="AU826" s="62" t="n">
        <v>20.5</v>
      </c>
      <c r="AV826" s="62" t="n">
        <v>458</v>
      </c>
      <c r="AW826" s="62" t="n">
        <f aca="false">0.55*AV826</f>
        <v>251.9</v>
      </c>
      <c r="AX826" s="62" t="n">
        <v>1</v>
      </c>
      <c r="AY826" s="58" t="n">
        <v>0</v>
      </c>
    </row>
    <row r="827" customFormat="false" ht="16.15" hidden="false" customHeight="false" outlineLevel="0" collapsed="false">
      <c r="A827" s="66" t="n">
        <v>45363</v>
      </c>
      <c r="B827" s="2" t="s">
        <v>201</v>
      </c>
      <c r="C827" s="57" t="n">
        <v>8</v>
      </c>
      <c r="D827" s="62" t="n">
        <v>19.2</v>
      </c>
      <c r="E827" s="62" t="n">
        <v>53.4</v>
      </c>
      <c r="F827" s="62" t="n">
        <f aca="false">E827*0.7</f>
        <v>37.38</v>
      </c>
      <c r="G827" s="58" t="n">
        <v>0.01</v>
      </c>
      <c r="H827" s="58" t="n">
        <v>7.97</v>
      </c>
      <c r="I827" s="62" t="n">
        <v>19.3</v>
      </c>
      <c r="J827" s="63"/>
      <c r="K827" s="63"/>
      <c r="L827" s="62" t="n">
        <v>0.17</v>
      </c>
      <c r="M827" s="58" t="n">
        <v>7.97</v>
      </c>
      <c r="N827" s="62" t="n">
        <v>19.3</v>
      </c>
      <c r="O827" s="63"/>
      <c r="P827" s="63"/>
      <c r="Q827" s="62" t="n">
        <v>0.25</v>
      </c>
      <c r="R827" s="58" t="n">
        <v>7.95</v>
      </c>
      <c r="S827" s="62" t="n">
        <v>19.3</v>
      </c>
      <c r="T827" s="63"/>
      <c r="U827" s="63"/>
      <c r="V827" s="58" t="n">
        <v>0</v>
      </c>
      <c r="W827" s="58" t="n">
        <v>7.95</v>
      </c>
      <c r="X827" s="62" t="n">
        <v>19.2</v>
      </c>
      <c r="Y827" s="63"/>
      <c r="Z827" s="63"/>
      <c r="AA827" s="58" t="n">
        <v>0</v>
      </c>
      <c r="AB827" s="58" t="n">
        <v>7.94</v>
      </c>
      <c r="AC827" s="62" t="n">
        <v>19.2</v>
      </c>
      <c r="AD827" s="62" t="n">
        <v>53.4</v>
      </c>
      <c r="AE827" s="62" t="n">
        <f aca="false">AD827*0.7</f>
        <v>37.38</v>
      </c>
      <c r="AF827" s="62"/>
      <c r="AG827" s="58" t="n">
        <v>0</v>
      </c>
      <c r="AH827" s="62"/>
      <c r="AI827" s="58" t="n">
        <v>7.94</v>
      </c>
      <c r="AJ827" s="62" t="n">
        <v>19.2</v>
      </c>
      <c r="AK827" s="62" t="n">
        <v>53.4</v>
      </c>
      <c r="AL827" s="62" t="n">
        <f aca="false">AK827*0.7</f>
        <v>37.38</v>
      </c>
      <c r="AM827" s="62"/>
      <c r="AN827" s="58" t="n">
        <v>0</v>
      </c>
      <c r="AO827" s="58" t="n">
        <v>6.38</v>
      </c>
      <c r="AP827" s="62" t="n">
        <v>19.8</v>
      </c>
      <c r="AQ827" s="62" t="n">
        <v>343</v>
      </c>
      <c r="AR827" s="62" t="n">
        <f aca="false">0.55*AQ827</f>
        <v>188.65</v>
      </c>
      <c r="AS827" s="58" t="n">
        <v>0</v>
      </c>
      <c r="AT827" s="58" t="n">
        <v>8.48</v>
      </c>
      <c r="AU827" s="62" t="n">
        <v>20.4</v>
      </c>
      <c r="AV827" s="62" t="n">
        <v>452</v>
      </c>
      <c r="AW827" s="62" t="n">
        <f aca="false">0.55*AV827</f>
        <v>248.6</v>
      </c>
      <c r="AX827" s="62" t="n">
        <v>1</v>
      </c>
      <c r="AY827" s="58" t="n">
        <v>0</v>
      </c>
    </row>
    <row r="828" customFormat="false" ht="16.15" hidden="false" customHeight="false" outlineLevel="0" collapsed="false">
      <c r="A828" s="66" t="n">
        <v>45394</v>
      </c>
      <c r="B828" s="2" t="s">
        <v>201</v>
      </c>
      <c r="C828" s="57" t="n">
        <v>8.01</v>
      </c>
      <c r="D828" s="62" t="n">
        <v>18.8</v>
      </c>
      <c r="E828" s="62" t="n">
        <v>53.5</v>
      </c>
      <c r="F828" s="62" t="n">
        <f aca="false">E828*0.7</f>
        <v>37.45</v>
      </c>
      <c r="G828" s="58" t="n">
        <v>0.01</v>
      </c>
      <c r="H828" s="58" t="n">
        <v>7.99</v>
      </c>
      <c r="I828" s="62" t="n">
        <v>19</v>
      </c>
      <c r="J828" s="63"/>
      <c r="K828" s="63"/>
      <c r="L828" s="62" t="n">
        <v>0.42</v>
      </c>
      <c r="M828" s="58" t="n">
        <v>7.99</v>
      </c>
      <c r="N828" s="62" t="n">
        <v>19</v>
      </c>
      <c r="O828" s="63"/>
      <c r="P828" s="63"/>
      <c r="Q828" s="62" t="n">
        <v>0.34</v>
      </c>
      <c r="R828" s="58" t="n">
        <v>7.96</v>
      </c>
      <c r="S828" s="62" t="n">
        <v>19.1</v>
      </c>
      <c r="T828" s="63"/>
      <c r="U828" s="63"/>
      <c r="V828" s="58" t="n">
        <v>0</v>
      </c>
      <c r="W828" s="58" t="n">
        <v>7.96</v>
      </c>
      <c r="X828" s="62" t="n">
        <v>19.1</v>
      </c>
      <c r="Y828" s="63"/>
      <c r="Z828" s="63"/>
      <c r="AA828" s="58" t="n">
        <v>0</v>
      </c>
      <c r="AB828" s="58" t="n">
        <v>7.94</v>
      </c>
      <c r="AC828" s="62" t="n">
        <v>18.9</v>
      </c>
      <c r="AD828" s="62" t="n">
        <v>53.5</v>
      </c>
      <c r="AE828" s="62" t="n">
        <f aca="false">AD828*0.7</f>
        <v>37.45</v>
      </c>
      <c r="AF828" s="62"/>
      <c r="AG828" s="58" t="n">
        <v>0</v>
      </c>
      <c r="AH828" s="62"/>
      <c r="AI828" s="58" t="n">
        <v>7.94</v>
      </c>
      <c r="AJ828" s="62" t="n">
        <v>18.9</v>
      </c>
      <c r="AK828" s="62" t="n">
        <v>53.5</v>
      </c>
      <c r="AL828" s="62" t="n">
        <f aca="false">AK828*0.7</f>
        <v>37.45</v>
      </c>
      <c r="AM828" s="62"/>
      <c r="AN828" s="58" t="n">
        <v>0</v>
      </c>
      <c r="AO828" s="58" t="n">
        <v>6.32</v>
      </c>
      <c r="AP828" s="62" t="n">
        <v>19.2</v>
      </c>
      <c r="AQ828" s="62" t="n">
        <v>345</v>
      </c>
      <c r="AR828" s="62" t="n">
        <f aca="false">0.55*AQ828</f>
        <v>189.75</v>
      </c>
      <c r="AS828" s="58" t="n">
        <v>0</v>
      </c>
      <c r="AT828" s="58" t="n">
        <v>8.35</v>
      </c>
      <c r="AU828" s="62" t="n">
        <v>20</v>
      </c>
      <c r="AV828" s="62" t="n">
        <v>451</v>
      </c>
      <c r="AW828" s="62" t="n">
        <f aca="false">0.55*AV828</f>
        <v>248.05</v>
      </c>
      <c r="AX828" s="62" t="n">
        <v>1</v>
      </c>
      <c r="AY828" s="58" t="n">
        <v>0</v>
      </c>
    </row>
    <row r="829" customFormat="false" ht="16.15" hidden="false" customHeight="false" outlineLevel="0" collapsed="false">
      <c r="A829" s="66" t="n">
        <v>45424</v>
      </c>
      <c r="B829" s="2" t="s">
        <v>201</v>
      </c>
      <c r="C829" s="57" t="n">
        <v>7.99</v>
      </c>
      <c r="D829" s="62" t="n">
        <v>18.7</v>
      </c>
      <c r="E829" s="62" t="n">
        <v>53.4</v>
      </c>
      <c r="F829" s="62" t="n">
        <f aca="false">E829*0.7</f>
        <v>37.38</v>
      </c>
      <c r="G829" s="58" t="n">
        <v>3.77</v>
      </c>
      <c r="H829" s="58" t="n">
        <v>7.95</v>
      </c>
      <c r="I829" s="62" t="n">
        <v>18.6</v>
      </c>
      <c r="J829" s="63"/>
      <c r="K829" s="63"/>
      <c r="L829" s="62" t="n">
        <v>2.77</v>
      </c>
      <c r="M829" s="58" t="n">
        <v>7.95</v>
      </c>
      <c r="N829" s="62" t="n">
        <v>18.6</v>
      </c>
      <c r="O829" s="63"/>
      <c r="P829" s="63"/>
      <c r="Q829" s="62" t="n">
        <v>2.3</v>
      </c>
      <c r="R829" s="58" t="n">
        <v>7.93</v>
      </c>
      <c r="S829" s="62" t="n">
        <v>18.5</v>
      </c>
      <c r="T829" s="63"/>
      <c r="U829" s="63"/>
      <c r="V829" s="58" t="n">
        <v>0</v>
      </c>
      <c r="W829" s="58" t="n">
        <v>7.93</v>
      </c>
      <c r="X829" s="62" t="n">
        <v>18.5</v>
      </c>
      <c r="Y829" s="63"/>
      <c r="Z829" s="63"/>
      <c r="AA829" s="58" t="n">
        <v>0</v>
      </c>
      <c r="AB829" s="58" t="n">
        <v>7.93</v>
      </c>
      <c r="AC829" s="62" t="n">
        <v>18.7</v>
      </c>
      <c r="AD829" s="62" t="n">
        <v>53.3</v>
      </c>
      <c r="AE829" s="62" t="n">
        <f aca="false">AD829*0.7</f>
        <v>37.31</v>
      </c>
      <c r="AF829" s="62"/>
      <c r="AG829" s="58" t="n">
        <v>0</v>
      </c>
      <c r="AH829" s="62"/>
      <c r="AI829" s="58" t="n">
        <v>7.92</v>
      </c>
      <c r="AJ829" s="62" t="n">
        <v>18.7</v>
      </c>
      <c r="AK829" s="62" t="n">
        <v>53.3</v>
      </c>
      <c r="AL829" s="62" t="n">
        <f aca="false">AK829*0.7</f>
        <v>37.31</v>
      </c>
      <c r="AM829" s="62"/>
      <c r="AN829" s="58" t="n">
        <v>0</v>
      </c>
      <c r="AO829" s="58" t="n">
        <v>6.3</v>
      </c>
      <c r="AP829" s="62" t="n">
        <v>19.5</v>
      </c>
      <c r="AQ829" s="62" t="n">
        <v>330</v>
      </c>
      <c r="AR829" s="62" t="n">
        <f aca="false">0.55*AQ829</f>
        <v>181.5</v>
      </c>
      <c r="AS829" s="58" t="n">
        <v>0</v>
      </c>
      <c r="AT829" s="58" t="n">
        <v>8.3</v>
      </c>
      <c r="AU829" s="62" t="n">
        <v>19.6</v>
      </c>
      <c r="AV829" s="62" t="n">
        <v>442</v>
      </c>
      <c r="AW829" s="62" t="n">
        <f aca="false">0.55*AV829</f>
        <v>243.1</v>
      </c>
      <c r="AX829" s="62" t="n">
        <v>1</v>
      </c>
      <c r="AY829" s="58" t="n">
        <v>0</v>
      </c>
    </row>
    <row r="830" customFormat="false" ht="16.15" hidden="false" customHeight="false" outlineLevel="0" collapsed="false">
      <c r="A830" s="66" t="n">
        <v>45455</v>
      </c>
      <c r="B830" s="2" t="s">
        <v>201</v>
      </c>
      <c r="C830" s="57" t="n">
        <v>8</v>
      </c>
      <c r="D830" s="62" t="n">
        <v>18</v>
      </c>
      <c r="E830" s="62" t="n">
        <v>53.4</v>
      </c>
      <c r="F830" s="62" t="n">
        <f aca="false">E830*0.7</f>
        <v>37.38</v>
      </c>
      <c r="G830" s="58" t="n">
        <v>1.8</v>
      </c>
      <c r="H830" s="58" t="n">
        <v>7.98</v>
      </c>
      <c r="I830" s="62" t="n">
        <v>18.2</v>
      </c>
      <c r="J830" s="63"/>
      <c r="K830" s="63"/>
      <c r="L830" s="62" t="n">
        <v>1.7</v>
      </c>
      <c r="M830" s="58" t="n">
        <v>7.98</v>
      </c>
      <c r="N830" s="62" t="n">
        <v>18.2</v>
      </c>
      <c r="O830" s="63"/>
      <c r="P830" s="63"/>
      <c r="Q830" s="62" t="n">
        <v>1.66</v>
      </c>
      <c r="R830" s="58" t="n">
        <v>7.98</v>
      </c>
      <c r="S830" s="62" t="n">
        <v>18.2</v>
      </c>
      <c r="T830" s="63"/>
      <c r="U830" s="63"/>
      <c r="V830" s="58" t="n">
        <v>0.01</v>
      </c>
      <c r="W830" s="58" t="n">
        <v>7.98</v>
      </c>
      <c r="X830" s="62" t="n">
        <v>18.2</v>
      </c>
      <c r="Y830" s="63"/>
      <c r="Z830" s="63"/>
      <c r="AA830" s="58" t="n">
        <v>0.01</v>
      </c>
      <c r="AB830" s="58" t="n">
        <v>7.96</v>
      </c>
      <c r="AC830" s="62" t="n">
        <v>18.2</v>
      </c>
      <c r="AD830" s="62" t="n">
        <v>53.4</v>
      </c>
      <c r="AE830" s="62" t="n">
        <f aca="false">AD830*0.7</f>
        <v>37.38</v>
      </c>
      <c r="AF830" s="62"/>
      <c r="AG830" s="58" t="n">
        <v>0</v>
      </c>
      <c r="AH830" s="62"/>
      <c r="AI830" s="58" t="n">
        <v>7.96</v>
      </c>
      <c r="AJ830" s="62" t="n">
        <v>18.2</v>
      </c>
      <c r="AK830" s="62" t="n">
        <v>53.4</v>
      </c>
      <c r="AL830" s="62" t="n">
        <f aca="false">AK830*0.7</f>
        <v>37.38</v>
      </c>
      <c r="AM830" s="62"/>
      <c r="AN830" s="58" t="n">
        <v>0</v>
      </c>
      <c r="AO830" s="58" t="n">
        <v>6.31</v>
      </c>
      <c r="AP830" s="62" t="n">
        <v>19.6</v>
      </c>
      <c r="AQ830" s="62" t="n">
        <v>330</v>
      </c>
      <c r="AR830" s="62" t="n">
        <f aca="false">0.55*AQ830</f>
        <v>181.5</v>
      </c>
      <c r="AS830" s="58" t="n">
        <v>0</v>
      </c>
      <c r="AT830" s="58" t="n">
        <v>8.34</v>
      </c>
      <c r="AU830" s="62" t="n">
        <v>19.4</v>
      </c>
      <c r="AV830" s="62" t="n">
        <v>443</v>
      </c>
      <c r="AW830" s="62" t="n">
        <f aca="false">0.55*AV830</f>
        <v>243.65</v>
      </c>
      <c r="AX830" s="62" t="n">
        <v>1</v>
      </c>
      <c r="AY830" s="58" t="n">
        <v>0</v>
      </c>
    </row>
    <row r="831" customFormat="false" ht="16.15" hidden="false" customHeight="false" outlineLevel="0" collapsed="false">
      <c r="A831" s="66" t="n">
        <v>45485</v>
      </c>
      <c r="B831" s="2" t="s">
        <v>201</v>
      </c>
      <c r="C831" s="61" t="n">
        <v>7.99</v>
      </c>
      <c r="D831" s="62" t="n">
        <v>18.8</v>
      </c>
      <c r="E831" s="62" t="n">
        <v>53.2</v>
      </c>
      <c r="F831" s="62" t="n">
        <f aca="false">E831*0.7</f>
        <v>37.24</v>
      </c>
      <c r="G831" s="58" t="n">
        <v>0.72</v>
      </c>
      <c r="H831" s="62" t="n">
        <v>7.98</v>
      </c>
      <c r="I831" s="62" t="n">
        <v>19</v>
      </c>
      <c r="J831" s="63"/>
      <c r="K831" s="63"/>
      <c r="L831" s="62" t="n">
        <v>0.46</v>
      </c>
      <c r="M831" s="62" t="n">
        <v>7.98</v>
      </c>
      <c r="N831" s="62" t="n">
        <v>19</v>
      </c>
      <c r="O831" s="63"/>
      <c r="P831" s="63"/>
      <c r="Q831" s="62" t="n">
        <v>0.38</v>
      </c>
      <c r="R831" s="62" t="n">
        <v>7.97</v>
      </c>
      <c r="S831" s="62" t="n">
        <v>19.1</v>
      </c>
      <c r="T831" s="63"/>
      <c r="U831" s="63"/>
      <c r="V831" s="58" t="n">
        <v>0</v>
      </c>
      <c r="W831" s="62" t="n">
        <v>7.97</v>
      </c>
      <c r="X831" s="62" t="n">
        <v>19.1</v>
      </c>
      <c r="Y831" s="63"/>
      <c r="Z831" s="63"/>
      <c r="AA831" s="58" t="n">
        <v>0</v>
      </c>
      <c r="AB831" s="62" t="n">
        <v>7.97</v>
      </c>
      <c r="AC831" s="62" t="n">
        <v>18.9</v>
      </c>
      <c r="AD831" s="62" t="n">
        <v>53.2</v>
      </c>
      <c r="AE831" s="62" t="n">
        <f aca="false">AD831*0.7</f>
        <v>37.24</v>
      </c>
      <c r="AF831" s="62"/>
      <c r="AG831" s="58" t="n">
        <v>0</v>
      </c>
      <c r="AH831" s="62"/>
      <c r="AI831" s="62" t="n">
        <v>7.98</v>
      </c>
      <c r="AJ831" s="62" t="n">
        <v>19</v>
      </c>
      <c r="AK831" s="62" t="n">
        <v>53.2</v>
      </c>
      <c r="AL831" s="62" t="n">
        <f aca="false">AK831*0.7</f>
        <v>37.24</v>
      </c>
      <c r="AM831" s="62"/>
      <c r="AN831" s="58" t="n">
        <v>0</v>
      </c>
      <c r="AO831" s="62" t="n">
        <v>6.33</v>
      </c>
      <c r="AP831" s="62" t="n">
        <v>19.2</v>
      </c>
      <c r="AQ831" s="62" t="n">
        <v>340</v>
      </c>
      <c r="AR831" s="62" t="n">
        <f aca="false">0.55*AQ831</f>
        <v>187</v>
      </c>
      <c r="AS831" s="58" t="n">
        <v>0</v>
      </c>
      <c r="AT831" s="62" t="n">
        <v>8.31</v>
      </c>
      <c r="AU831" s="62" t="n">
        <v>19.5</v>
      </c>
      <c r="AV831" s="62" t="n">
        <v>445</v>
      </c>
      <c r="AW831" s="62" t="n">
        <f aca="false">0.55*AV831</f>
        <v>244.75</v>
      </c>
      <c r="AX831" s="62" t="n">
        <v>1</v>
      </c>
      <c r="AY831" s="58" t="n">
        <v>0</v>
      </c>
    </row>
    <row r="832" customFormat="false" ht="16.15" hidden="false" customHeight="false" outlineLevel="0" collapsed="false">
      <c r="A832" s="66" t="n">
        <v>45516</v>
      </c>
      <c r="B832" s="2" t="s">
        <v>201</v>
      </c>
      <c r="C832" s="57" t="n">
        <v>8</v>
      </c>
      <c r="D832" s="62" t="n">
        <v>18.7</v>
      </c>
      <c r="E832" s="62" t="n">
        <v>53.3</v>
      </c>
      <c r="F832" s="62" t="n">
        <f aca="false">E832*0.7</f>
        <v>37.31</v>
      </c>
      <c r="G832" s="58" t="n">
        <v>5.25</v>
      </c>
      <c r="H832" s="58" t="n">
        <v>7.98</v>
      </c>
      <c r="I832" s="62" t="n">
        <v>18.6</v>
      </c>
      <c r="J832" s="63"/>
      <c r="K832" s="63"/>
      <c r="L832" s="62" t="n">
        <v>4.53</v>
      </c>
      <c r="M832" s="58" t="n">
        <v>7.99</v>
      </c>
      <c r="N832" s="62" t="n">
        <v>18.5</v>
      </c>
      <c r="O832" s="63"/>
      <c r="P832" s="63"/>
      <c r="Q832" s="62" t="n">
        <v>4.29</v>
      </c>
      <c r="R832" s="58" t="n">
        <v>7.96</v>
      </c>
      <c r="S832" s="62" t="n">
        <v>18.5</v>
      </c>
      <c r="T832" s="63"/>
      <c r="U832" s="63"/>
      <c r="V832" s="58" t="n">
        <v>0</v>
      </c>
      <c r="W832" s="58" t="n">
        <v>7.96</v>
      </c>
      <c r="X832" s="62" t="n">
        <v>18.6</v>
      </c>
      <c r="Y832" s="63"/>
      <c r="Z832" s="63"/>
      <c r="AA832" s="58" t="n">
        <v>0</v>
      </c>
      <c r="AB832" s="58" t="n">
        <v>7.95</v>
      </c>
      <c r="AC832" s="62" t="n">
        <v>18.6</v>
      </c>
      <c r="AD832" s="62" t="n">
        <v>53.1</v>
      </c>
      <c r="AE832" s="62" t="n">
        <f aca="false">AD832*0.7</f>
        <v>37.17</v>
      </c>
      <c r="AF832" s="62"/>
      <c r="AG832" s="58" t="n">
        <v>0</v>
      </c>
      <c r="AH832" s="62"/>
      <c r="AI832" s="58" t="n">
        <v>7.95</v>
      </c>
      <c r="AJ832" s="62" t="n">
        <v>18.8</v>
      </c>
      <c r="AK832" s="62" t="n">
        <v>53.2</v>
      </c>
      <c r="AL832" s="62" t="n">
        <f aca="false">AK832*0.7</f>
        <v>37.24</v>
      </c>
      <c r="AM832" s="62"/>
      <c r="AN832" s="58" t="n">
        <v>0</v>
      </c>
      <c r="AO832" s="58" t="n">
        <v>6.46</v>
      </c>
      <c r="AP832" s="62" t="n">
        <v>18.9</v>
      </c>
      <c r="AQ832" s="62" t="n">
        <v>335</v>
      </c>
      <c r="AR832" s="62" t="n">
        <f aca="false">0.55*AQ832</f>
        <v>184.25</v>
      </c>
      <c r="AS832" s="58" t="n">
        <v>0</v>
      </c>
      <c r="AT832" s="58" t="n">
        <v>8.2</v>
      </c>
      <c r="AU832" s="62" t="n">
        <v>19.2</v>
      </c>
      <c r="AV832" s="62" t="n">
        <v>438</v>
      </c>
      <c r="AW832" s="62" t="n">
        <f aca="false">0.55*AV832</f>
        <v>240.9</v>
      </c>
      <c r="AX832" s="62" t="n">
        <v>1.1</v>
      </c>
      <c r="AY832" s="58" t="n">
        <v>0</v>
      </c>
    </row>
    <row r="833" customFormat="false" ht="16.15" hidden="false" customHeight="false" outlineLevel="0" collapsed="false">
      <c r="A833" s="66" t="n">
        <v>45547</v>
      </c>
      <c r="B833" s="2" t="s">
        <v>201</v>
      </c>
      <c r="C833" s="57" t="n">
        <v>8.02</v>
      </c>
      <c r="D833" s="62" t="n">
        <v>18.1</v>
      </c>
      <c r="E833" s="62" t="n">
        <v>53.5</v>
      </c>
      <c r="F833" s="62" t="n">
        <f aca="false">E833*0.7</f>
        <v>37.45</v>
      </c>
      <c r="G833" s="58" t="n">
        <v>10.9</v>
      </c>
      <c r="H833" s="58" t="n">
        <v>7.97</v>
      </c>
      <c r="I833" s="62" t="n">
        <v>17.9</v>
      </c>
      <c r="J833" s="63"/>
      <c r="K833" s="63"/>
      <c r="L833" s="62" t="n">
        <v>5.43</v>
      </c>
      <c r="M833" s="58" t="n">
        <v>7.96</v>
      </c>
      <c r="N833" s="62" t="n">
        <v>17.9</v>
      </c>
      <c r="O833" s="63"/>
      <c r="P833" s="63"/>
      <c r="Q833" s="62" t="n">
        <v>6.14</v>
      </c>
      <c r="R833" s="58" t="n">
        <v>7.96</v>
      </c>
      <c r="S833" s="62" t="n">
        <v>17.9</v>
      </c>
      <c r="T833" s="63"/>
      <c r="U833" s="63"/>
      <c r="V833" s="58" t="n">
        <v>0</v>
      </c>
      <c r="W833" s="58" t="n">
        <v>7.98</v>
      </c>
      <c r="X833" s="62" t="n">
        <v>17.7</v>
      </c>
      <c r="Y833" s="63"/>
      <c r="Z833" s="63"/>
      <c r="AA833" s="58" t="n">
        <v>0</v>
      </c>
      <c r="AB833" s="58" t="n">
        <v>7.94</v>
      </c>
      <c r="AC833" s="62" t="n">
        <v>18</v>
      </c>
      <c r="AD833" s="62" t="n">
        <v>53.4</v>
      </c>
      <c r="AE833" s="62" t="n">
        <f aca="false">AD833*0.7</f>
        <v>37.38</v>
      </c>
      <c r="AF833" s="62"/>
      <c r="AG833" s="58" t="n">
        <v>0</v>
      </c>
      <c r="AH833" s="62"/>
      <c r="AI833" s="58" t="n">
        <v>7.94</v>
      </c>
      <c r="AJ833" s="62" t="n">
        <v>18.1</v>
      </c>
      <c r="AK833" s="62" t="n">
        <v>53.4</v>
      </c>
      <c r="AL833" s="62" t="n">
        <f aca="false">AK833*0.7</f>
        <v>37.38</v>
      </c>
      <c r="AM833" s="62"/>
      <c r="AN833" s="58" t="n">
        <v>0</v>
      </c>
      <c r="AO833" s="58" t="n">
        <v>6.47</v>
      </c>
      <c r="AP833" s="62" t="n">
        <v>18.6</v>
      </c>
      <c r="AQ833" s="62" t="n">
        <v>325</v>
      </c>
      <c r="AR833" s="62" t="n">
        <f aca="false">0.55*AQ833</f>
        <v>178.75</v>
      </c>
      <c r="AS833" s="58" t="n">
        <v>0</v>
      </c>
      <c r="AT833" s="58" t="n">
        <v>8.5</v>
      </c>
      <c r="AU833" s="62" t="n">
        <v>19.4</v>
      </c>
      <c r="AV833" s="62" t="n">
        <v>428</v>
      </c>
      <c r="AW833" s="62" t="n">
        <f aca="false">0.55*AV833</f>
        <v>235.4</v>
      </c>
      <c r="AX833" s="62" t="n">
        <v>1</v>
      </c>
      <c r="AY833" s="58" t="n">
        <v>0</v>
      </c>
    </row>
    <row r="834" customFormat="false" ht="16.15" hidden="false" customHeight="false" outlineLevel="0" collapsed="false">
      <c r="A834" s="66" t="n">
        <v>45577</v>
      </c>
      <c r="B834" s="2" t="s">
        <v>201</v>
      </c>
      <c r="C834" s="29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58" t="n">
        <v>6.45</v>
      </c>
      <c r="AP834" s="62" t="n">
        <v>18.3</v>
      </c>
      <c r="AQ834" s="62" t="n">
        <v>315</v>
      </c>
      <c r="AR834" s="62" t="n">
        <f aca="false">0.55*AQ834</f>
        <v>173.25</v>
      </c>
      <c r="AS834" s="58" t="n">
        <v>0</v>
      </c>
      <c r="AT834" s="58" t="n">
        <v>8.23</v>
      </c>
      <c r="AU834" s="62" t="n">
        <v>18.8</v>
      </c>
      <c r="AV834" s="62" t="n">
        <v>425</v>
      </c>
      <c r="AW834" s="62" t="n">
        <f aca="false">0.55*AV834</f>
        <v>233.75</v>
      </c>
      <c r="AX834" s="62" t="n">
        <v>1.1</v>
      </c>
      <c r="AY834" s="58" t="n">
        <v>0.23</v>
      </c>
    </row>
    <row r="835" customFormat="false" ht="16.15" hidden="false" customHeight="false" outlineLevel="0" collapsed="false">
      <c r="A835" s="66" t="n">
        <v>45608</v>
      </c>
      <c r="B835" s="2" t="s">
        <v>201</v>
      </c>
      <c r="C835" s="57" t="n">
        <v>8.01</v>
      </c>
      <c r="D835" s="62" t="n">
        <v>17</v>
      </c>
      <c r="E835" s="62" t="n">
        <v>53.5</v>
      </c>
      <c r="F835" s="62"/>
      <c r="G835" s="58" t="n">
        <v>0.33</v>
      </c>
      <c r="H835" s="58" t="n">
        <v>7.98</v>
      </c>
      <c r="I835" s="62" t="n">
        <v>17.5</v>
      </c>
      <c r="J835" s="63"/>
      <c r="K835" s="63"/>
      <c r="L835" s="62" t="n">
        <v>1.66</v>
      </c>
      <c r="M835" s="58" t="n">
        <v>7.98</v>
      </c>
      <c r="N835" s="62" t="n">
        <v>17.5</v>
      </c>
      <c r="O835" s="63"/>
      <c r="P835" s="63"/>
      <c r="Q835" s="62" t="n">
        <v>1.33</v>
      </c>
      <c r="R835" s="58" t="n">
        <v>7.96</v>
      </c>
      <c r="S835" s="62" t="n">
        <v>17.5</v>
      </c>
      <c r="T835" s="63"/>
      <c r="U835" s="63"/>
      <c r="V835" s="58" t="n">
        <v>0</v>
      </c>
      <c r="W835" s="58" t="n">
        <v>7.96</v>
      </c>
      <c r="X835" s="62" t="n">
        <v>17.5</v>
      </c>
      <c r="Y835" s="63"/>
      <c r="Z835" s="63"/>
      <c r="AA835" s="58" t="n">
        <v>0</v>
      </c>
      <c r="AB835" s="58" t="n">
        <v>7.93</v>
      </c>
      <c r="AC835" s="62" t="n">
        <v>17.4</v>
      </c>
      <c r="AD835" s="62" t="n">
        <v>53.5</v>
      </c>
      <c r="AE835" s="62" t="n">
        <f aca="false">0.55*AD835</f>
        <v>29.425</v>
      </c>
      <c r="AF835" s="62"/>
      <c r="AG835" s="58" t="n">
        <v>0</v>
      </c>
      <c r="AH835" s="62"/>
      <c r="AI835" s="58" t="n">
        <v>7.93</v>
      </c>
      <c r="AJ835" s="62" t="n">
        <v>17.4</v>
      </c>
      <c r="AK835" s="62" t="n">
        <v>53.5</v>
      </c>
      <c r="AL835" s="62" t="n">
        <f aca="false">0.55*AK835</f>
        <v>29.425</v>
      </c>
      <c r="AM835" s="62"/>
      <c r="AN835" s="58" t="n">
        <v>0</v>
      </c>
      <c r="AO835" s="58" t="n">
        <v>6.3</v>
      </c>
      <c r="AP835" s="62" t="n">
        <v>18.1</v>
      </c>
      <c r="AQ835" s="62" t="n">
        <v>310</v>
      </c>
      <c r="AR835" s="62" t="n">
        <f aca="false">0.55*AQ835</f>
        <v>170.5</v>
      </c>
      <c r="AS835" s="58" t="n">
        <v>0</v>
      </c>
      <c r="AT835" s="58" t="n">
        <v>8.23</v>
      </c>
      <c r="AU835" s="62" t="n">
        <v>18.6</v>
      </c>
      <c r="AV835" s="62" t="n">
        <v>422</v>
      </c>
      <c r="AW835" s="62" t="n">
        <f aca="false">0.55*AV835</f>
        <v>232.1</v>
      </c>
      <c r="AX835" s="62" t="n">
        <v>1</v>
      </c>
      <c r="AY835" s="58" t="n">
        <v>0.04</v>
      </c>
    </row>
    <row r="836" customFormat="false" ht="16.15" hidden="false" customHeight="false" outlineLevel="0" collapsed="false">
      <c r="A836" s="66" t="n">
        <v>45638</v>
      </c>
      <c r="B836" s="2" t="s">
        <v>201</v>
      </c>
      <c r="C836" s="57" t="n">
        <v>8.01</v>
      </c>
      <c r="D836" s="62" t="n">
        <v>17.5</v>
      </c>
      <c r="E836" s="62" t="n">
        <v>53.5</v>
      </c>
      <c r="F836" s="62" t="n">
        <f aca="false">E836*0.7</f>
        <v>37.45</v>
      </c>
      <c r="G836" s="58" t="n">
        <v>0.41</v>
      </c>
      <c r="H836" s="58" t="n">
        <v>7.98</v>
      </c>
      <c r="I836" s="62" t="n">
        <v>17.9</v>
      </c>
      <c r="J836" s="63"/>
      <c r="K836" s="63"/>
      <c r="L836" s="62" t="n">
        <v>0.81</v>
      </c>
      <c r="M836" s="58" t="n">
        <v>7.98</v>
      </c>
      <c r="N836" s="62" t="n">
        <v>17.9</v>
      </c>
      <c r="O836" s="63"/>
      <c r="P836" s="63"/>
      <c r="Q836" s="62" t="n">
        <v>0.58</v>
      </c>
      <c r="R836" s="58" t="n">
        <v>7.95</v>
      </c>
      <c r="S836" s="62" t="n">
        <v>17.7</v>
      </c>
      <c r="T836" s="63"/>
      <c r="U836" s="63"/>
      <c r="V836" s="58" t="n">
        <v>0</v>
      </c>
      <c r="W836" s="58" t="n">
        <v>7.94</v>
      </c>
      <c r="X836" s="62" t="n">
        <v>17.7</v>
      </c>
      <c r="Y836" s="63"/>
      <c r="Z836" s="63"/>
      <c r="AA836" s="58" t="n">
        <v>0</v>
      </c>
      <c r="AB836" s="58" t="n">
        <v>7.92</v>
      </c>
      <c r="AC836" s="62" t="n">
        <v>17.6</v>
      </c>
      <c r="AD836" s="62" t="n">
        <v>53.5</v>
      </c>
      <c r="AE836" s="62" t="n">
        <f aca="false">0.55*AD836</f>
        <v>29.425</v>
      </c>
      <c r="AF836" s="62"/>
      <c r="AG836" s="58" t="n">
        <v>0</v>
      </c>
      <c r="AH836" s="62"/>
      <c r="AI836" s="58" t="n">
        <v>7.92</v>
      </c>
      <c r="AJ836" s="62" t="n">
        <v>17.6</v>
      </c>
      <c r="AK836" s="62" t="n">
        <v>53.5</v>
      </c>
      <c r="AL836" s="62" t="n">
        <f aca="false">0.55*AK836</f>
        <v>29.425</v>
      </c>
      <c r="AM836" s="62"/>
      <c r="AN836" s="58" t="n">
        <v>0</v>
      </c>
      <c r="AO836" s="58" t="n">
        <v>6.3</v>
      </c>
      <c r="AP836" s="62" t="n">
        <v>18.4</v>
      </c>
      <c r="AQ836" s="62" t="n">
        <v>312</v>
      </c>
      <c r="AR836" s="62" t="n">
        <f aca="false">0.55*AQ836</f>
        <v>171.6</v>
      </c>
      <c r="AS836" s="58" t="n">
        <v>0</v>
      </c>
      <c r="AT836" s="58" t="n">
        <v>8.18</v>
      </c>
      <c r="AU836" s="62" t="n">
        <v>19</v>
      </c>
      <c r="AV836" s="62" t="n">
        <v>415</v>
      </c>
      <c r="AW836" s="62" t="n">
        <f aca="false">0.55*AV836</f>
        <v>228.25</v>
      </c>
      <c r="AX836" s="62" t="n">
        <v>1</v>
      </c>
      <c r="AY836" s="58" t="n">
        <v>0</v>
      </c>
    </row>
    <row r="837" customFormat="false" ht="16.15" hidden="false" customHeight="false" outlineLevel="0" collapsed="false">
      <c r="A837" s="68" t="s">
        <v>239</v>
      </c>
      <c r="B837" s="2" t="s">
        <v>201</v>
      </c>
      <c r="C837" s="57" t="n">
        <v>8.05</v>
      </c>
      <c r="D837" s="62" t="n">
        <v>17.9</v>
      </c>
      <c r="E837" s="62" t="n">
        <v>53.5</v>
      </c>
      <c r="F837" s="62" t="n">
        <f aca="false">E837*0.7</f>
        <v>37.45</v>
      </c>
      <c r="G837" s="58" t="n">
        <v>0.52</v>
      </c>
      <c r="H837" s="58" t="n">
        <v>8.02</v>
      </c>
      <c r="I837" s="62" t="n">
        <v>17.5</v>
      </c>
      <c r="J837" s="63"/>
      <c r="K837" s="63"/>
      <c r="L837" s="62" t="n">
        <v>0.62</v>
      </c>
      <c r="M837" s="58" t="n">
        <v>8.02</v>
      </c>
      <c r="N837" s="62" t="n">
        <v>17.5</v>
      </c>
      <c r="O837" s="63"/>
      <c r="P837" s="63"/>
      <c r="Q837" s="62" t="n">
        <v>0.44</v>
      </c>
      <c r="R837" s="58" t="n">
        <v>8</v>
      </c>
      <c r="S837" s="62" t="n">
        <v>17.9</v>
      </c>
      <c r="T837" s="63"/>
      <c r="U837" s="63"/>
      <c r="V837" s="58" t="n">
        <v>0</v>
      </c>
      <c r="W837" s="58" t="n">
        <v>8</v>
      </c>
      <c r="X837" s="62" t="n">
        <v>17.9</v>
      </c>
      <c r="Y837" s="63"/>
      <c r="Z837" s="63"/>
      <c r="AA837" s="58" t="n">
        <v>0</v>
      </c>
      <c r="AB837" s="58" t="n">
        <v>7.99</v>
      </c>
      <c r="AC837" s="62" t="n">
        <v>17.8</v>
      </c>
      <c r="AD837" s="62" t="n">
        <v>53.5</v>
      </c>
      <c r="AE837" s="62" t="n">
        <f aca="false">0.55*AD837</f>
        <v>29.425</v>
      </c>
      <c r="AF837" s="62"/>
      <c r="AG837" s="58" t="n">
        <v>0</v>
      </c>
      <c r="AH837" s="62"/>
      <c r="AI837" s="58" t="n">
        <v>7.99</v>
      </c>
      <c r="AJ837" s="62" t="n">
        <v>17.8</v>
      </c>
      <c r="AK837" s="62" t="n">
        <v>53.5</v>
      </c>
      <c r="AL837" s="62" t="n">
        <f aca="false">0.55*AK837</f>
        <v>29.425</v>
      </c>
      <c r="AM837" s="62"/>
      <c r="AN837" s="58" t="n">
        <v>0</v>
      </c>
      <c r="AO837" s="58" t="n">
        <v>6.24</v>
      </c>
      <c r="AP837" s="62" t="n">
        <v>18.5</v>
      </c>
      <c r="AQ837" s="62" t="n">
        <v>310</v>
      </c>
      <c r="AR837" s="62" t="n">
        <f aca="false">0.55*AQ837</f>
        <v>170.5</v>
      </c>
      <c r="AS837" s="58" t="n">
        <v>0</v>
      </c>
      <c r="AT837" s="58" t="n">
        <v>8.33</v>
      </c>
      <c r="AU837" s="62" t="n">
        <v>18.7</v>
      </c>
      <c r="AV837" s="62" t="n">
        <v>416</v>
      </c>
      <c r="AW837" s="62" t="n">
        <f aca="false">0.55*AV837</f>
        <v>228.8</v>
      </c>
      <c r="AX837" s="62" t="n">
        <v>1</v>
      </c>
      <c r="AY837" s="58" t="n">
        <v>0.05</v>
      </c>
    </row>
    <row r="838" customFormat="false" ht="16.15" hidden="false" customHeight="false" outlineLevel="0" collapsed="false">
      <c r="A838" s="68" t="s">
        <v>240</v>
      </c>
      <c r="B838" s="2" t="s">
        <v>201</v>
      </c>
      <c r="C838" s="57" t="n">
        <v>8.05</v>
      </c>
      <c r="D838" s="62" t="n">
        <v>17.8</v>
      </c>
      <c r="E838" s="62" t="n">
        <v>53.5</v>
      </c>
      <c r="F838" s="62" t="n">
        <f aca="false">E838*0.7</f>
        <v>37.45</v>
      </c>
      <c r="G838" s="58" t="n">
        <v>0.62</v>
      </c>
      <c r="H838" s="58" t="n">
        <v>7.97</v>
      </c>
      <c r="I838" s="62" t="n">
        <v>17.5</v>
      </c>
      <c r="J838" s="63"/>
      <c r="K838" s="63"/>
      <c r="L838" s="62" t="n">
        <v>1.17</v>
      </c>
      <c r="M838" s="58" t="n">
        <v>7.97</v>
      </c>
      <c r="N838" s="62" t="n">
        <v>17.5</v>
      </c>
      <c r="O838" s="63"/>
      <c r="P838" s="63"/>
      <c r="Q838" s="62" t="n">
        <v>0.92</v>
      </c>
      <c r="R838" s="58" t="n">
        <v>7.96</v>
      </c>
      <c r="S838" s="62" t="n">
        <v>17.6</v>
      </c>
      <c r="T838" s="63"/>
      <c r="U838" s="63"/>
      <c r="V838" s="58" t="n">
        <v>0</v>
      </c>
      <c r="W838" s="58" t="n">
        <v>7.96</v>
      </c>
      <c r="X838" s="62" t="n">
        <v>17.6</v>
      </c>
      <c r="Y838" s="63"/>
      <c r="Z838" s="63"/>
      <c r="AA838" s="58" t="n">
        <v>0</v>
      </c>
      <c r="AB838" s="58" t="n">
        <v>7.95</v>
      </c>
      <c r="AC838" s="62" t="n">
        <v>17.8</v>
      </c>
      <c r="AD838" s="62" t="n">
        <v>53.5</v>
      </c>
      <c r="AE838" s="62" t="n">
        <f aca="false">0.55*AD838</f>
        <v>29.425</v>
      </c>
      <c r="AF838" s="62"/>
      <c r="AG838" s="58" t="n">
        <v>0</v>
      </c>
      <c r="AH838" s="62"/>
      <c r="AI838" s="58" t="n">
        <v>7.95</v>
      </c>
      <c r="AJ838" s="62" t="n">
        <v>17.8</v>
      </c>
      <c r="AK838" s="62" t="n">
        <v>53.5</v>
      </c>
      <c r="AL838" s="62" t="n">
        <f aca="false">0.55*AK838</f>
        <v>29.425</v>
      </c>
      <c r="AM838" s="62"/>
      <c r="AN838" s="58" t="n">
        <v>0</v>
      </c>
      <c r="AO838" s="58" t="n">
        <v>6.32</v>
      </c>
      <c r="AP838" s="62" t="n">
        <v>18</v>
      </c>
      <c r="AQ838" s="62" t="n">
        <v>281</v>
      </c>
      <c r="AR838" s="62" t="n">
        <f aca="false">0.55*AQ838</f>
        <v>154.55</v>
      </c>
      <c r="AS838" s="58" t="n">
        <v>0</v>
      </c>
      <c r="AT838" s="58" t="n">
        <v>8.2</v>
      </c>
      <c r="AU838" s="62" t="n">
        <v>18.4</v>
      </c>
      <c r="AV838" s="62" t="n">
        <v>411</v>
      </c>
      <c r="AW838" s="62" t="n">
        <f aca="false">0.55*AV838</f>
        <v>226.05</v>
      </c>
      <c r="AX838" s="62" t="n">
        <v>1</v>
      </c>
      <c r="AY838" s="58" t="n">
        <v>0.02</v>
      </c>
    </row>
    <row r="839" customFormat="false" ht="16.15" hidden="false" customHeight="false" outlineLevel="0" collapsed="false">
      <c r="A839" s="68" t="s">
        <v>241</v>
      </c>
      <c r="B839" s="2" t="s">
        <v>201</v>
      </c>
      <c r="C839" s="57" t="n">
        <v>8.04</v>
      </c>
      <c r="D839" s="62" t="n">
        <v>17.1</v>
      </c>
      <c r="E839" s="62" t="n">
        <v>53.5</v>
      </c>
      <c r="F839" s="62" t="n">
        <f aca="false">E839*0.7</f>
        <v>37.45</v>
      </c>
      <c r="G839" s="58" t="n">
        <v>0.01</v>
      </c>
      <c r="H839" s="58" t="n">
        <v>8.02</v>
      </c>
      <c r="I839" s="62" t="n">
        <v>17.5</v>
      </c>
      <c r="J839" s="63"/>
      <c r="K839" s="63"/>
      <c r="L839" s="62" t="n">
        <v>0.58</v>
      </c>
      <c r="M839" s="58" t="n">
        <v>8.02</v>
      </c>
      <c r="N839" s="62" t="n">
        <v>17.5</v>
      </c>
      <c r="O839" s="63"/>
      <c r="P839" s="63"/>
      <c r="Q839" s="62" t="n">
        <v>0.45</v>
      </c>
      <c r="R839" s="58" t="n">
        <v>7.99</v>
      </c>
      <c r="S839" s="62" t="n">
        <v>17.4</v>
      </c>
      <c r="T839" s="63"/>
      <c r="U839" s="63"/>
      <c r="V839" s="58" t="n">
        <v>0</v>
      </c>
      <c r="W839" s="58" t="n">
        <v>7.99</v>
      </c>
      <c r="X839" s="62" t="n">
        <v>17.4</v>
      </c>
      <c r="Y839" s="63"/>
      <c r="Z839" s="63"/>
      <c r="AA839" s="58" t="n">
        <v>0</v>
      </c>
      <c r="AB839" s="58" t="n">
        <v>7.96</v>
      </c>
      <c r="AC839" s="62" t="n">
        <v>17.4</v>
      </c>
      <c r="AD839" s="62" t="n">
        <v>53.4</v>
      </c>
      <c r="AE839" s="62" t="n">
        <f aca="false">0.7*AD839</f>
        <v>37.38</v>
      </c>
      <c r="AF839" s="62"/>
      <c r="AG839" s="58" t="n">
        <v>0</v>
      </c>
      <c r="AH839" s="62"/>
      <c r="AI839" s="58" t="n">
        <v>7.97</v>
      </c>
      <c r="AJ839" s="62" t="n">
        <v>17.4</v>
      </c>
      <c r="AK839" s="62" t="n">
        <v>53.4</v>
      </c>
      <c r="AL839" s="62" t="n">
        <f aca="false">0.7*AK839</f>
        <v>37.38</v>
      </c>
      <c r="AM839" s="62"/>
      <c r="AN839" s="58" t="n">
        <v>0</v>
      </c>
      <c r="AO839" s="58" t="n">
        <v>6.37</v>
      </c>
      <c r="AP839" s="62" t="n">
        <v>18</v>
      </c>
      <c r="AQ839" s="62" t="n">
        <v>302</v>
      </c>
      <c r="AR839" s="62" t="n">
        <f aca="false">0.55*AQ839</f>
        <v>166.1</v>
      </c>
      <c r="AS839" s="58" t="n">
        <v>0</v>
      </c>
      <c r="AT839" s="58" t="n">
        <v>8.27</v>
      </c>
      <c r="AU839" s="62" t="n">
        <v>18.5</v>
      </c>
      <c r="AV839" s="62" t="n">
        <v>408</v>
      </c>
      <c r="AW839" s="62" t="n">
        <f aca="false">0.55*AV839</f>
        <v>224.4</v>
      </c>
      <c r="AX839" s="62" t="n">
        <v>1</v>
      </c>
      <c r="AY839" s="58" t="n">
        <v>0.07</v>
      </c>
    </row>
    <row r="840" customFormat="false" ht="16.15" hidden="false" customHeight="false" outlineLevel="0" collapsed="false">
      <c r="A840" s="68" t="s">
        <v>242</v>
      </c>
      <c r="B840" s="2" t="s">
        <v>201</v>
      </c>
      <c r="C840" s="57" t="n">
        <v>8</v>
      </c>
      <c r="D840" s="62" t="n">
        <v>17.5</v>
      </c>
      <c r="E840" s="62" t="n">
        <v>53.6</v>
      </c>
      <c r="F840" s="62" t="n">
        <f aca="false">E840*0.7</f>
        <v>37.52</v>
      </c>
      <c r="G840" s="58" t="n">
        <v>0.15</v>
      </c>
      <c r="H840" s="58" t="n">
        <v>8</v>
      </c>
      <c r="I840" s="62" t="n">
        <v>17.4</v>
      </c>
      <c r="J840" s="63"/>
      <c r="K840" s="63"/>
      <c r="L840" s="62" t="n">
        <v>1.14</v>
      </c>
      <c r="M840" s="58" t="n">
        <v>8.03</v>
      </c>
      <c r="N840" s="62" t="n">
        <v>17.2</v>
      </c>
      <c r="O840" s="63"/>
      <c r="P840" s="63"/>
      <c r="Q840" s="62" t="n">
        <v>1.65</v>
      </c>
      <c r="R840" s="58" t="n">
        <v>8.04</v>
      </c>
      <c r="S840" s="62" t="n">
        <v>17.5</v>
      </c>
      <c r="T840" s="63"/>
      <c r="U840" s="63"/>
      <c r="V840" s="58" t="n">
        <v>0</v>
      </c>
      <c r="W840" s="58" t="n">
        <v>8.04</v>
      </c>
      <c r="X840" s="62" t="n">
        <v>17.7</v>
      </c>
      <c r="Y840" s="63"/>
      <c r="Z840" s="63"/>
      <c r="AA840" s="58" t="n">
        <v>0</v>
      </c>
      <c r="AB840" s="58" t="n">
        <v>8.04</v>
      </c>
      <c r="AC840" s="62" t="n">
        <v>17.8</v>
      </c>
      <c r="AD840" s="62" t="n">
        <v>53.3</v>
      </c>
      <c r="AE840" s="62" t="n">
        <f aca="false">0.7*AD840</f>
        <v>37.31</v>
      </c>
      <c r="AF840" s="62"/>
      <c r="AG840" s="58" t="n">
        <v>0</v>
      </c>
      <c r="AH840" s="62"/>
      <c r="AI840" s="58" t="n">
        <v>8.03</v>
      </c>
      <c r="AJ840" s="62" t="n">
        <v>17.7</v>
      </c>
      <c r="AK840" s="62" t="n">
        <v>53.4</v>
      </c>
      <c r="AL840" s="62" t="n">
        <f aca="false">0.7*AK840</f>
        <v>37.38</v>
      </c>
      <c r="AM840" s="62"/>
      <c r="AN840" s="58" t="n">
        <v>0</v>
      </c>
      <c r="AO840" s="58" t="n">
        <v>6.33</v>
      </c>
      <c r="AP840" s="62" t="n">
        <v>17.8</v>
      </c>
      <c r="AQ840" s="62" t="n">
        <v>390</v>
      </c>
      <c r="AR840" s="62" t="n">
        <f aca="false">0.55*AQ840</f>
        <v>214.5</v>
      </c>
      <c r="AS840" s="58" t="n">
        <v>0</v>
      </c>
      <c r="AT840" s="58" t="n">
        <v>8.4</v>
      </c>
      <c r="AU840" s="62" t="n">
        <v>18.2</v>
      </c>
      <c r="AV840" s="62" t="n">
        <v>405</v>
      </c>
      <c r="AW840" s="62" t="n">
        <f aca="false">0.55*AV840</f>
        <v>222.75</v>
      </c>
      <c r="AX840" s="62" t="n">
        <v>1</v>
      </c>
      <c r="AY840" s="58" t="n">
        <v>0</v>
      </c>
    </row>
    <row r="841" customFormat="false" ht="16.15" hidden="false" customHeight="false" outlineLevel="0" collapsed="false">
      <c r="A841" s="68" t="s">
        <v>243</v>
      </c>
      <c r="B841" s="2" t="s">
        <v>201</v>
      </c>
      <c r="C841" s="57" t="n">
        <v>7.99</v>
      </c>
      <c r="D841" s="62" t="n">
        <v>17.1</v>
      </c>
      <c r="E841" s="62" t="n">
        <v>53.7</v>
      </c>
      <c r="F841" s="62" t="n">
        <f aca="false">E841*0.7</f>
        <v>37.59</v>
      </c>
      <c r="G841" s="58" t="n">
        <v>0.1</v>
      </c>
      <c r="H841" s="58" t="n">
        <v>7.96</v>
      </c>
      <c r="I841" s="62" t="n">
        <v>17.4</v>
      </c>
      <c r="J841" s="63"/>
      <c r="K841" s="63"/>
      <c r="L841" s="62" t="n">
        <v>1.23</v>
      </c>
      <c r="M841" s="58" t="n">
        <v>7.96</v>
      </c>
      <c r="N841" s="62" t="n">
        <v>17.3</v>
      </c>
      <c r="O841" s="63"/>
      <c r="P841" s="63"/>
      <c r="Q841" s="62" t="n">
        <v>0.9</v>
      </c>
      <c r="R841" s="58" t="n">
        <v>7.95</v>
      </c>
      <c r="S841" s="62" t="n">
        <v>17.1</v>
      </c>
      <c r="T841" s="63"/>
      <c r="U841" s="63"/>
      <c r="V841" s="58" t="n">
        <v>0</v>
      </c>
      <c r="W841" s="58" t="n">
        <v>7.95</v>
      </c>
      <c r="X841" s="62" t="n">
        <v>17.1</v>
      </c>
      <c r="Y841" s="63"/>
      <c r="Z841" s="63"/>
      <c r="AA841" s="58" t="n">
        <v>0</v>
      </c>
      <c r="AB841" s="58" t="n">
        <v>7.93</v>
      </c>
      <c r="AC841" s="62" t="n">
        <v>17.1</v>
      </c>
      <c r="AD841" s="62" t="n">
        <v>53.7</v>
      </c>
      <c r="AE841" s="62" t="n">
        <f aca="false">0.7*AD841</f>
        <v>37.59</v>
      </c>
      <c r="AF841" s="62"/>
      <c r="AG841" s="58" t="n">
        <v>0</v>
      </c>
      <c r="AH841" s="62"/>
      <c r="AI841" s="58" t="n">
        <v>7.93</v>
      </c>
      <c r="AJ841" s="62" t="n">
        <v>17.1</v>
      </c>
      <c r="AK841" s="62" t="n">
        <v>53.6</v>
      </c>
      <c r="AL841" s="62" t="n">
        <f aca="false">0.7*AK841</f>
        <v>37.52</v>
      </c>
      <c r="AM841" s="62"/>
      <c r="AN841" s="58" t="n">
        <v>0</v>
      </c>
      <c r="AO841" s="58" t="n">
        <v>6.42</v>
      </c>
      <c r="AP841" s="62" t="n">
        <v>17.6</v>
      </c>
      <c r="AQ841" s="62" t="n">
        <v>298</v>
      </c>
      <c r="AR841" s="62" t="n">
        <f aca="false">0.55*AQ841</f>
        <v>163.9</v>
      </c>
      <c r="AS841" s="58" t="n">
        <v>0</v>
      </c>
      <c r="AT841" s="58" t="n">
        <v>8.17</v>
      </c>
      <c r="AU841" s="62" t="n">
        <v>18.1</v>
      </c>
      <c r="AV841" s="62" t="n">
        <v>405</v>
      </c>
      <c r="AW841" s="62" t="n">
        <f aca="false">0.55*AV841</f>
        <v>222.75</v>
      </c>
      <c r="AX841" s="62" t="n">
        <v>1</v>
      </c>
      <c r="AY841" s="58" t="n">
        <v>0.33</v>
      </c>
    </row>
    <row r="842" customFormat="false" ht="16.15" hidden="false" customHeight="false" outlineLevel="0" collapsed="false">
      <c r="A842" s="68" t="s">
        <v>244</v>
      </c>
      <c r="B842" s="2" t="s">
        <v>201</v>
      </c>
      <c r="C842" s="57" t="n">
        <v>8</v>
      </c>
      <c r="D842" s="62" t="n">
        <v>16.5</v>
      </c>
      <c r="E842" s="62" t="n">
        <v>53.8</v>
      </c>
      <c r="F842" s="62" t="n">
        <f aca="false">E842*0.7</f>
        <v>37.66</v>
      </c>
      <c r="G842" s="58" t="n">
        <v>0.12</v>
      </c>
      <c r="H842" s="58" t="n">
        <v>7.98</v>
      </c>
      <c r="I842" s="62" t="n">
        <v>16.8</v>
      </c>
      <c r="J842" s="63"/>
      <c r="K842" s="63"/>
      <c r="L842" s="62" t="n">
        <v>0.92</v>
      </c>
      <c r="M842" s="58" t="n">
        <v>7.98</v>
      </c>
      <c r="N842" s="62" t="n">
        <v>16.8</v>
      </c>
      <c r="O842" s="63"/>
      <c r="P842" s="63"/>
      <c r="Q842" s="62" t="n">
        <v>0.88</v>
      </c>
      <c r="R842" s="58" t="n">
        <v>7.95</v>
      </c>
      <c r="S842" s="62" t="n">
        <v>16.9</v>
      </c>
      <c r="T842" s="63"/>
      <c r="U842" s="63"/>
      <c r="V842" s="58" t="n">
        <v>0</v>
      </c>
      <c r="W842" s="58" t="n">
        <v>7.95</v>
      </c>
      <c r="X842" s="62" t="n">
        <v>16.9</v>
      </c>
      <c r="Y842" s="63"/>
      <c r="Z842" s="63"/>
      <c r="AA842" s="58" t="n">
        <v>0</v>
      </c>
      <c r="AB842" s="58" t="n">
        <v>7.93</v>
      </c>
      <c r="AC842" s="62" t="n">
        <v>17.2</v>
      </c>
      <c r="AD842" s="62" t="n">
        <v>53.8</v>
      </c>
      <c r="AE842" s="62" t="n">
        <f aca="false">0.7*AD842</f>
        <v>37.66</v>
      </c>
      <c r="AF842" s="62"/>
      <c r="AG842" s="58" t="n">
        <v>0</v>
      </c>
      <c r="AH842" s="62"/>
      <c r="AI842" s="58" t="n">
        <v>7.92</v>
      </c>
      <c r="AJ842" s="62" t="n">
        <v>17.2</v>
      </c>
      <c r="AK842" s="62" t="n">
        <v>53.8</v>
      </c>
      <c r="AL842" s="62" t="n">
        <f aca="false">0.7*AK842</f>
        <v>37.66</v>
      </c>
      <c r="AM842" s="62"/>
      <c r="AN842" s="58" t="n">
        <v>0</v>
      </c>
      <c r="AO842" s="58" t="n">
        <v>6.4</v>
      </c>
      <c r="AP842" s="62" t="n">
        <v>17.6</v>
      </c>
      <c r="AQ842" s="62" t="n">
        <v>297</v>
      </c>
      <c r="AR842" s="62" t="n">
        <f aca="false">0.55*AQ842</f>
        <v>163.35</v>
      </c>
      <c r="AS842" s="58" t="n">
        <v>0</v>
      </c>
      <c r="AT842" s="58" t="n">
        <v>8.18</v>
      </c>
      <c r="AU842" s="62" t="n">
        <v>18.1</v>
      </c>
      <c r="AV842" s="62" t="n">
        <v>398</v>
      </c>
      <c r="AW842" s="62" t="n">
        <f aca="false">0.55*AV842</f>
        <v>218.9</v>
      </c>
      <c r="AX842" s="62" t="n">
        <v>1</v>
      </c>
      <c r="AY842" s="58" t="n">
        <v>0</v>
      </c>
    </row>
    <row r="843" customFormat="false" ht="16.15" hidden="false" customHeight="false" outlineLevel="0" collapsed="false">
      <c r="A843" s="68" t="s">
        <v>245</v>
      </c>
      <c r="B843" s="2" t="s">
        <v>201</v>
      </c>
      <c r="C843" s="57" t="n">
        <v>8</v>
      </c>
      <c r="D843" s="62" t="n">
        <v>17.1</v>
      </c>
      <c r="E843" s="62" t="n">
        <v>53.6</v>
      </c>
      <c r="F843" s="62" t="n">
        <f aca="false">E843*0.7</f>
        <v>37.52</v>
      </c>
      <c r="G843" s="58" t="n">
        <v>0.01</v>
      </c>
      <c r="H843" s="58" t="n">
        <v>7.98</v>
      </c>
      <c r="I843" s="62" t="n">
        <v>17.2</v>
      </c>
      <c r="J843" s="63"/>
      <c r="K843" s="63"/>
      <c r="L843" s="62" t="n">
        <v>0.62</v>
      </c>
      <c r="M843" s="58" t="n">
        <v>7.98</v>
      </c>
      <c r="N843" s="62" t="n">
        <v>17.2</v>
      </c>
      <c r="O843" s="63"/>
      <c r="P843" s="63"/>
      <c r="Q843" s="62" t="n">
        <v>0.48</v>
      </c>
      <c r="R843" s="58" t="n">
        <v>7.95</v>
      </c>
      <c r="S843" s="62" t="n">
        <v>17.2</v>
      </c>
      <c r="T843" s="63"/>
      <c r="U843" s="63"/>
      <c r="V843" s="58" t="n">
        <v>0</v>
      </c>
      <c r="W843" s="58" t="n">
        <v>7.95</v>
      </c>
      <c r="X843" s="62" t="n">
        <v>17.2</v>
      </c>
      <c r="Y843" s="63"/>
      <c r="Z843" s="63"/>
      <c r="AA843" s="58" t="n">
        <v>0</v>
      </c>
      <c r="AB843" s="58" t="n">
        <v>7.94</v>
      </c>
      <c r="AC843" s="62" t="n">
        <v>17.3</v>
      </c>
      <c r="AD843" s="62" t="n">
        <v>53.6</v>
      </c>
      <c r="AE843" s="62" t="n">
        <f aca="false">0.7*AD843</f>
        <v>37.52</v>
      </c>
      <c r="AF843" s="62"/>
      <c r="AG843" s="58" t="n">
        <v>0</v>
      </c>
      <c r="AH843" s="62"/>
      <c r="AI843" s="58" t="n">
        <v>7.93</v>
      </c>
      <c r="AJ843" s="62" t="n">
        <v>17.3</v>
      </c>
      <c r="AK843" s="62" t="n">
        <v>53.6</v>
      </c>
      <c r="AL843" s="62" t="n">
        <f aca="false">0.7*AK843</f>
        <v>37.52</v>
      </c>
      <c r="AM843" s="62"/>
      <c r="AN843" s="58" t="n">
        <v>0</v>
      </c>
      <c r="AO843" s="58" t="n">
        <v>6.35</v>
      </c>
      <c r="AP843" s="62" t="n">
        <v>17.7</v>
      </c>
      <c r="AQ843" s="62" t="n">
        <v>296</v>
      </c>
      <c r="AR843" s="62" t="n">
        <f aca="false">0.55*AQ843</f>
        <v>162.8</v>
      </c>
      <c r="AS843" s="58" t="n">
        <v>0</v>
      </c>
      <c r="AT843" s="58" t="n">
        <v>8.13</v>
      </c>
      <c r="AU843" s="62" t="n">
        <v>17.8</v>
      </c>
      <c r="AV843" s="62" t="n">
        <v>400</v>
      </c>
      <c r="AW843" s="62" t="n">
        <f aca="false">0.55*AV843</f>
        <v>220</v>
      </c>
      <c r="AX843" s="62" t="n">
        <v>1</v>
      </c>
      <c r="AY843" s="58" t="n">
        <v>0</v>
      </c>
    </row>
    <row r="844" customFormat="false" ht="16.15" hidden="false" customHeight="false" outlineLevel="0" collapsed="false">
      <c r="A844" s="68" t="s">
        <v>246</v>
      </c>
      <c r="B844" s="2" t="s">
        <v>201</v>
      </c>
      <c r="C844" s="1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AT844" s="76" t="n">
        <v>8.27</v>
      </c>
      <c r="AU844" s="77" t="n">
        <v>18.6</v>
      </c>
      <c r="AV844" s="77" t="n">
        <v>403</v>
      </c>
      <c r="AW844" s="77" t="n">
        <f aca="false">AV844*0.55</f>
        <v>221.65</v>
      </c>
      <c r="AX844" s="77" t="n">
        <v>1</v>
      </c>
      <c r="AY844" s="76" t="n">
        <v>0.4</v>
      </c>
    </row>
    <row r="845" customFormat="false" ht="16.15" hidden="false" customHeight="false" outlineLevel="0" collapsed="false">
      <c r="A845" s="68" t="s">
        <v>247</v>
      </c>
      <c r="B845" s="2" t="s">
        <v>201</v>
      </c>
      <c r="C845" s="57" t="n">
        <v>7.99</v>
      </c>
      <c r="D845" s="62" t="n">
        <v>17.1</v>
      </c>
      <c r="E845" s="62" t="n">
        <v>53.6</v>
      </c>
      <c r="F845" s="62"/>
      <c r="G845" s="58" t="n">
        <v>0.75</v>
      </c>
      <c r="H845" s="58" t="n">
        <v>7.97</v>
      </c>
      <c r="I845" s="62" t="n">
        <v>18.6</v>
      </c>
      <c r="J845" s="63"/>
      <c r="K845" s="63"/>
      <c r="L845" s="62" t="n">
        <v>1.34</v>
      </c>
      <c r="M845" s="58" t="n">
        <v>8.01</v>
      </c>
      <c r="N845" s="62" t="n">
        <v>18.5</v>
      </c>
      <c r="O845" s="63"/>
      <c r="P845" s="63"/>
      <c r="Q845" s="62" t="n">
        <v>1.28</v>
      </c>
      <c r="R845" s="58" t="n">
        <v>8.01</v>
      </c>
      <c r="S845" s="62" t="n">
        <v>17.2</v>
      </c>
      <c r="T845" s="63"/>
      <c r="U845" s="63"/>
      <c r="V845" s="58" t="n">
        <v>0</v>
      </c>
      <c r="W845" s="58" t="n">
        <v>8</v>
      </c>
      <c r="X845" s="62" t="n">
        <v>17.5</v>
      </c>
      <c r="Y845" s="63"/>
      <c r="Z845" s="63"/>
      <c r="AA845" s="58" t="n">
        <v>0</v>
      </c>
      <c r="AB845" s="58" t="n">
        <v>8</v>
      </c>
      <c r="AC845" s="62" t="n">
        <v>17.2</v>
      </c>
      <c r="AD845" s="62" t="n">
        <v>53.6</v>
      </c>
      <c r="AE845" s="62"/>
      <c r="AF845" s="62"/>
      <c r="AG845" s="58" t="n">
        <v>0</v>
      </c>
      <c r="AH845" s="62"/>
      <c r="AI845" s="58" t="n">
        <v>7.99</v>
      </c>
      <c r="AJ845" s="62" t="n">
        <v>17.3</v>
      </c>
      <c r="AK845" s="62" t="n">
        <v>53.6</v>
      </c>
      <c r="AL845" s="62" t="n">
        <f aca="false">AK845*0.7</f>
        <v>37.52</v>
      </c>
      <c r="AM845" s="62"/>
      <c r="AN845" s="58" t="n">
        <v>0</v>
      </c>
      <c r="AO845" s="58" t="n">
        <v>6.5</v>
      </c>
      <c r="AP845" s="62" t="n">
        <v>17.3</v>
      </c>
      <c r="AQ845" s="62" t="n">
        <v>300</v>
      </c>
      <c r="AR845" s="62" t="n">
        <f aca="false">0.55*AQ845</f>
        <v>165</v>
      </c>
      <c r="AS845" s="58" t="n">
        <v>0</v>
      </c>
      <c r="AT845" s="58" t="n">
        <v>8.15</v>
      </c>
      <c r="AU845" s="62" t="n">
        <v>18</v>
      </c>
      <c r="AV845" s="62" t="n">
        <v>395</v>
      </c>
      <c r="AW845" s="62" t="n">
        <f aca="false">0.55*AV845</f>
        <v>217.25</v>
      </c>
      <c r="AX845" s="62" t="n">
        <v>1</v>
      </c>
      <c r="AY845" s="58" t="n">
        <v>0</v>
      </c>
    </row>
    <row r="846" customFormat="false" ht="16.15" hidden="false" customHeight="false" outlineLevel="0" collapsed="false">
      <c r="A846" s="68" t="s">
        <v>248</v>
      </c>
      <c r="B846" s="2" t="s">
        <v>201</v>
      </c>
      <c r="C846" s="57" t="n">
        <v>8.04</v>
      </c>
      <c r="D846" s="62" t="n">
        <v>16.4</v>
      </c>
      <c r="E846" s="62" t="n">
        <v>55.9</v>
      </c>
      <c r="F846" s="62"/>
      <c r="G846" s="58" t="n">
        <v>1.03</v>
      </c>
      <c r="H846" s="58" t="n">
        <v>8.02</v>
      </c>
      <c r="I846" s="62" t="n">
        <v>16.6</v>
      </c>
      <c r="J846" s="63"/>
      <c r="K846" s="63"/>
      <c r="L846" s="62" t="n">
        <v>0.85</v>
      </c>
      <c r="M846" s="58" t="n">
        <v>8.02</v>
      </c>
      <c r="N846" s="62" t="n">
        <v>16.6</v>
      </c>
      <c r="O846" s="63"/>
      <c r="P846" s="63"/>
      <c r="Q846" s="62" t="n">
        <v>0.72</v>
      </c>
      <c r="R846" s="58" t="n">
        <v>8.01</v>
      </c>
      <c r="S846" s="62" t="n">
        <v>16.6</v>
      </c>
      <c r="T846" s="63"/>
      <c r="U846" s="63"/>
      <c r="V846" s="58" t="n">
        <v>0</v>
      </c>
      <c r="W846" s="58" t="n">
        <v>8</v>
      </c>
      <c r="X846" s="62" t="n">
        <v>16.6</v>
      </c>
      <c r="Y846" s="63"/>
      <c r="Z846" s="63"/>
      <c r="AA846" s="58" t="n">
        <v>0</v>
      </c>
      <c r="AB846" s="58" t="n">
        <v>7.96</v>
      </c>
      <c r="AC846" s="62" t="n">
        <v>16.8</v>
      </c>
      <c r="AD846" s="62" t="n">
        <v>55.3</v>
      </c>
      <c r="AE846" s="62"/>
      <c r="AF846" s="62"/>
      <c r="AG846" s="58" t="n">
        <v>0</v>
      </c>
      <c r="AH846" s="62"/>
      <c r="AI846" s="58" t="n">
        <v>7.97</v>
      </c>
      <c r="AJ846" s="62" t="n">
        <v>16.8</v>
      </c>
      <c r="AK846" s="62" t="n">
        <v>55.9</v>
      </c>
      <c r="AL846" s="62" t="n">
        <f aca="false">AK846*0.7</f>
        <v>39.13</v>
      </c>
      <c r="AM846" s="62"/>
      <c r="AN846" s="58" t="n">
        <v>0</v>
      </c>
      <c r="AO846" s="58" t="n">
        <v>6.33</v>
      </c>
      <c r="AP846" s="62" t="n">
        <v>17.5</v>
      </c>
      <c r="AQ846" s="62" t="n">
        <v>300</v>
      </c>
      <c r="AR846" s="62" t="n">
        <f aca="false">0.55*AQ846</f>
        <v>165</v>
      </c>
      <c r="AS846" s="58" t="n">
        <v>0</v>
      </c>
      <c r="AT846" s="58" t="n">
        <v>8.45</v>
      </c>
      <c r="AU846" s="62" t="n">
        <v>18.1</v>
      </c>
      <c r="AV846" s="62" t="n">
        <v>413</v>
      </c>
      <c r="AW846" s="62" t="n">
        <f aca="false">0.55*AV846</f>
        <v>227.15</v>
      </c>
      <c r="AX846" s="62" t="n">
        <v>1</v>
      </c>
      <c r="AY846" s="58" t="n">
        <v>0</v>
      </c>
    </row>
    <row r="847" customFormat="false" ht="16.15" hidden="false" customHeight="false" outlineLevel="0" collapsed="false">
      <c r="A847" s="68" t="s">
        <v>249</v>
      </c>
      <c r="B847" s="2" t="s">
        <v>201</v>
      </c>
      <c r="C847" s="57" t="n">
        <v>8.01</v>
      </c>
      <c r="D847" s="62" t="n">
        <v>16.8</v>
      </c>
      <c r="E847" s="62" t="n">
        <v>55.9</v>
      </c>
      <c r="F847" s="62" t="n">
        <f aca="false">E847*0.7</f>
        <v>39.13</v>
      </c>
      <c r="G847" s="58" t="n">
        <v>1.08</v>
      </c>
      <c r="H847" s="58" t="n">
        <v>7.99</v>
      </c>
      <c r="I847" s="62" t="n">
        <v>17</v>
      </c>
      <c r="J847" s="63"/>
      <c r="K847" s="63"/>
      <c r="L847" s="62" t="n">
        <v>0.9</v>
      </c>
      <c r="M847" s="58" t="n">
        <v>7.98</v>
      </c>
      <c r="N847" s="62" t="n">
        <v>17</v>
      </c>
      <c r="O847" s="63"/>
      <c r="P847" s="63"/>
      <c r="Q847" s="62" t="n">
        <v>0.62</v>
      </c>
      <c r="R847" s="58" t="n">
        <v>7.97</v>
      </c>
      <c r="S847" s="62" t="n">
        <v>17</v>
      </c>
      <c r="T847" s="63"/>
      <c r="U847" s="63"/>
      <c r="V847" s="58" t="n">
        <v>0</v>
      </c>
      <c r="W847" s="58" t="n">
        <v>7.97</v>
      </c>
      <c r="X847" s="62" t="n">
        <v>17</v>
      </c>
      <c r="Y847" s="63"/>
      <c r="Z847" s="63"/>
      <c r="AA847" s="58" t="n">
        <v>0</v>
      </c>
      <c r="AB847" s="58" t="n">
        <v>7.94</v>
      </c>
      <c r="AC847" s="62" t="n">
        <v>17.1</v>
      </c>
      <c r="AD847" s="62" t="n">
        <v>55.9</v>
      </c>
      <c r="AE847" s="62" t="n">
        <f aca="false">AD847*0.7</f>
        <v>39.13</v>
      </c>
      <c r="AF847" s="62"/>
      <c r="AG847" s="58" t="n">
        <v>0</v>
      </c>
      <c r="AH847" s="62"/>
      <c r="AI847" s="58" t="n">
        <v>7.95</v>
      </c>
      <c r="AJ847" s="62" t="n">
        <v>17.1</v>
      </c>
      <c r="AK847" s="62" t="n">
        <v>55.9</v>
      </c>
      <c r="AL847" s="62" t="n">
        <f aca="false">AK847*0.7</f>
        <v>39.13</v>
      </c>
      <c r="AM847" s="62"/>
      <c r="AN847" s="58" t="n">
        <v>0</v>
      </c>
      <c r="AO847" s="58" t="n">
        <v>6.45</v>
      </c>
      <c r="AP847" s="62" t="n">
        <v>17.7</v>
      </c>
      <c r="AQ847" s="62" t="n">
        <v>298</v>
      </c>
      <c r="AR847" s="62" t="n">
        <f aca="false">0.55*AQ847</f>
        <v>163.9</v>
      </c>
      <c r="AS847" s="58" t="n">
        <v>0</v>
      </c>
      <c r="AT847" s="58" t="n">
        <v>8.25</v>
      </c>
      <c r="AU847" s="62" t="n">
        <v>18</v>
      </c>
      <c r="AV847" s="62" t="n">
        <v>409</v>
      </c>
      <c r="AW847" s="62" t="n">
        <f aca="false">0.55*AV847</f>
        <v>224.95</v>
      </c>
      <c r="AX847" s="62" t="n">
        <v>1</v>
      </c>
      <c r="AY847" s="58" t="n">
        <v>0.15</v>
      </c>
    </row>
    <row r="848" customFormat="false" ht="16.15" hidden="false" customHeight="false" outlineLevel="0" collapsed="false">
      <c r="A848" s="68" t="s">
        <v>250</v>
      </c>
      <c r="B848" s="2" t="s">
        <v>201</v>
      </c>
      <c r="C848" s="57" t="n">
        <v>7.99</v>
      </c>
      <c r="D848" s="62" t="n">
        <v>17</v>
      </c>
      <c r="E848" s="62" t="n">
        <v>56.1</v>
      </c>
      <c r="F848" s="62"/>
      <c r="G848" s="58" t="n">
        <v>4.05</v>
      </c>
      <c r="H848" s="58" t="n">
        <v>7.97</v>
      </c>
      <c r="I848" s="62" t="n">
        <v>16.9</v>
      </c>
      <c r="J848" s="63"/>
      <c r="K848" s="63"/>
      <c r="L848" s="62" t="n">
        <v>2.62</v>
      </c>
      <c r="M848" s="58" t="n">
        <v>7.97</v>
      </c>
      <c r="N848" s="62" t="n">
        <v>16.9</v>
      </c>
      <c r="O848" s="63"/>
      <c r="P848" s="63"/>
      <c r="Q848" s="62" t="n">
        <v>3.11</v>
      </c>
      <c r="R848" s="58" t="n">
        <v>7.96</v>
      </c>
      <c r="S848" s="62" t="n">
        <v>17</v>
      </c>
      <c r="T848" s="63"/>
      <c r="U848" s="63"/>
      <c r="V848" s="58" t="n">
        <v>0</v>
      </c>
      <c r="W848" s="58" t="n">
        <v>7.95</v>
      </c>
      <c r="X848" s="62" t="n">
        <v>17</v>
      </c>
      <c r="Y848" s="63"/>
      <c r="Z848" s="63"/>
      <c r="AA848" s="58" t="n">
        <v>0</v>
      </c>
      <c r="AB848" s="58" t="n">
        <v>7.94</v>
      </c>
      <c r="AC848" s="62" t="n">
        <v>17</v>
      </c>
      <c r="AD848" s="62" t="n">
        <v>55.9</v>
      </c>
      <c r="AE848" s="62" t="n">
        <f aca="false">AD848*0.7</f>
        <v>39.13</v>
      </c>
      <c r="AF848" s="62"/>
      <c r="AG848" s="58" t="n">
        <v>0</v>
      </c>
      <c r="AH848" s="62"/>
      <c r="AI848" s="58" t="n">
        <v>7.94</v>
      </c>
      <c r="AJ848" s="62" t="n">
        <v>17</v>
      </c>
      <c r="AK848" s="62" t="n">
        <v>55.9</v>
      </c>
      <c r="AL848" s="62" t="n">
        <f aca="false">AK848*0.7</f>
        <v>39.13</v>
      </c>
      <c r="AM848" s="62"/>
      <c r="AN848" s="58" t="n">
        <v>0</v>
      </c>
      <c r="AO848" s="58" t="n">
        <v>6.62</v>
      </c>
      <c r="AP848" s="62" t="n">
        <v>17.3</v>
      </c>
      <c r="AQ848" s="62" t="n">
        <v>298</v>
      </c>
      <c r="AR848" s="62" t="n">
        <f aca="false">0.55*AQ848</f>
        <v>163.9</v>
      </c>
      <c r="AS848" s="58" t="n">
        <v>0</v>
      </c>
      <c r="AT848" s="58" t="n">
        <v>8.43</v>
      </c>
      <c r="AU848" s="62" t="n">
        <v>17.9</v>
      </c>
      <c r="AV848" s="62" t="n">
        <v>411</v>
      </c>
      <c r="AW848" s="62" t="n">
        <f aca="false">0.55*AV848</f>
        <v>226.05</v>
      </c>
      <c r="AX848" s="62" t="n">
        <v>1</v>
      </c>
      <c r="AY848" s="58" t="n">
        <v>0</v>
      </c>
    </row>
    <row r="849" customFormat="false" ht="16.15" hidden="false" customHeight="false" outlineLevel="0" collapsed="false">
      <c r="A849" s="68" t="s">
        <v>251</v>
      </c>
      <c r="B849" s="2" t="s">
        <v>201</v>
      </c>
      <c r="C849" s="57" t="n">
        <v>8</v>
      </c>
      <c r="D849" s="62" t="n">
        <v>16.6</v>
      </c>
      <c r="E849" s="62" t="n">
        <v>56</v>
      </c>
      <c r="F849" s="62" t="n">
        <f aca="false">E849*0.7</f>
        <v>39.2</v>
      </c>
      <c r="G849" s="58" t="n">
        <v>1.71</v>
      </c>
      <c r="H849" s="58" t="n">
        <v>7.98</v>
      </c>
      <c r="I849" s="62" t="n">
        <v>16.7</v>
      </c>
      <c r="J849" s="63"/>
      <c r="K849" s="63"/>
      <c r="L849" s="62" t="n">
        <v>2.39</v>
      </c>
      <c r="M849" s="58" t="n">
        <v>7.97</v>
      </c>
      <c r="N849" s="62" t="n">
        <v>16.7</v>
      </c>
      <c r="O849" s="63"/>
      <c r="P849" s="63"/>
      <c r="Q849" s="62" t="n">
        <v>2.58</v>
      </c>
      <c r="R849" s="58" t="n">
        <v>7.94</v>
      </c>
      <c r="S849" s="62" t="n">
        <v>16.6</v>
      </c>
      <c r="T849" s="63"/>
      <c r="U849" s="63"/>
      <c r="V849" s="58" t="n">
        <v>0.13</v>
      </c>
      <c r="W849" s="58" t="n">
        <v>7.95</v>
      </c>
      <c r="X849" s="62" t="n">
        <v>16.6</v>
      </c>
      <c r="Y849" s="63"/>
      <c r="Z849" s="63"/>
      <c r="AA849" s="58" t="n">
        <v>0.03</v>
      </c>
      <c r="AB849" s="58" t="n">
        <v>7.93</v>
      </c>
      <c r="AC849" s="62" t="n">
        <v>17</v>
      </c>
      <c r="AD849" s="62" t="n">
        <v>55.9</v>
      </c>
      <c r="AE849" s="62" t="n">
        <f aca="false">AD849*0.7</f>
        <v>39.13</v>
      </c>
      <c r="AF849" s="62"/>
      <c r="AG849" s="58" t="n">
        <v>0.03</v>
      </c>
      <c r="AH849" s="62"/>
      <c r="AI849" s="58" t="n">
        <v>7.93</v>
      </c>
      <c r="AJ849" s="62" t="n">
        <v>17</v>
      </c>
      <c r="AK849" s="62" t="n">
        <v>55.9</v>
      </c>
      <c r="AL849" s="62" t="n">
        <f aca="false">AK849*0.7</f>
        <v>39.13</v>
      </c>
      <c r="AM849" s="62"/>
      <c r="AN849" s="58" t="n">
        <v>0.04</v>
      </c>
      <c r="AO849" s="58" t="n">
        <v>6.65</v>
      </c>
      <c r="AP849" s="62" t="n">
        <v>17.7</v>
      </c>
      <c r="AQ849" s="62" t="n">
        <v>296</v>
      </c>
      <c r="AR849" s="62" t="n">
        <f aca="false">0.55*AQ849</f>
        <v>162.8</v>
      </c>
      <c r="AS849" s="58" t="n">
        <v>0</v>
      </c>
      <c r="AT849" s="58" t="n">
        <v>8.4</v>
      </c>
      <c r="AU849" s="62" t="n">
        <v>17.7</v>
      </c>
      <c r="AV849" s="62" t="n">
        <v>405</v>
      </c>
      <c r="AW849" s="62" t="n">
        <f aca="false">0.55*AV849</f>
        <v>222.75</v>
      </c>
      <c r="AX849" s="62" t="n">
        <v>1</v>
      </c>
      <c r="AY849" s="58" t="n">
        <v>0.11</v>
      </c>
    </row>
    <row r="850" customFormat="false" ht="16.15" hidden="false" customHeight="false" outlineLevel="0" collapsed="false">
      <c r="A850" s="68" t="s">
        <v>252</v>
      </c>
      <c r="B850" s="2" t="s">
        <v>201</v>
      </c>
      <c r="C850" s="57" t="n">
        <v>8.02</v>
      </c>
      <c r="D850" s="62" t="n">
        <v>16.6</v>
      </c>
      <c r="E850" s="62" t="n">
        <v>55.8</v>
      </c>
      <c r="F850" s="62" t="n">
        <f aca="false">E850*0.7</f>
        <v>39.06</v>
      </c>
      <c r="G850" s="58" t="n">
        <v>0.94</v>
      </c>
      <c r="H850" s="58" t="n">
        <v>7.98</v>
      </c>
      <c r="I850" s="62" t="n">
        <v>16.7</v>
      </c>
      <c r="J850" s="63"/>
      <c r="K850" s="63"/>
      <c r="L850" s="62" t="n">
        <v>1.36</v>
      </c>
      <c r="M850" s="58" t="n">
        <v>7.97</v>
      </c>
      <c r="N850" s="62" t="n">
        <v>16.7</v>
      </c>
      <c r="O850" s="63"/>
      <c r="P850" s="63"/>
      <c r="Q850" s="62" t="n">
        <v>1.25</v>
      </c>
      <c r="R850" s="58" t="n">
        <v>7.95</v>
      </c>
      <c r="S850" s="62" t="n">
        <v>16.7</v>
      </c>
      <c r="T850" s="63"/>
      <c r="U850" s="63"/>
      <c r="V850" s="58" t="n">
        <v>0</v>
      </c>
      <c r="W850" s="58" t="n">
        <v>7.95</v>
      </c>
      <c r="X850" s="62" t="n">
        <v>16.7</v>
      </c>
      <c r="Y850" s="63"/>
      <c r="Z850" s="63"/>
      <c r="AA850" s="58" t="n">
        <v>0</v>
      </c>
      <c r="AB850" s="58" t="n">
        <v>7.95</v>
      </c>
      <c r="AC850" s="62" t="n">
        <v>16.7</v>
      </c>
      <c r="AD850" s="62" t="n">
        <v>55.8</v>
      </c>
      <c r="AE850" s="62" t="n">
        <f aca="false">AD850*0.7</f>
        <v>39.06</v>
      </c>
      <c r="AF850" s="62"/>
      <c r="AG850" s="58" t="n">
        <v>0</v>
      </c>
      <c r="AH850" s="62"/>
      <c r="AI850" s="58" t="n">
        <v>7.93</v>
      </c>
      <c r="AJ850" s="62" t="n">
        <v>16.7</v>
      </c>
      <c r="AK850" s="62" t="n">
        <v>55.8</v>
      </c>
      <c r="AL850" s="62" t="n">
        <f aca="false">AK850*0.7</f>
        <v>39.06</v>
      </c>
      <c r="AM850" s="62"/>
      <c r="AN850" s="58" t="n">
        <v>0</v>
      </c>
      <c r="AO850" s="58" t="n">
        <v>6.45</v>
      </c>
      <c r="AP850" s="62" t="n">
        <v>16.9</v>
      </c>
      <c r="AQ850" s="62" t="n">
        <v>310</v>
      </c>
      <c r="AR850" s="62" t="n">
        <f aca="false">0.55*AQ850</f>
        <v>170.5</v>
      </c>
      <c r="AS850" s="58" t="n">
        <v>0</v>
      </c>
      <c r="AT850" s="58" t="n">
        <v>8.47</v>
      </c>
      <c r="AU850" s="62" t="n">
        <v>17.7</v>
      </c>
      <c r="AV850" s="62" t="n">
        <v>410</v>
      </c>
      <c r="AW850" s="62" t="n">
        <f aca="false">AV850*0.7</f>
        <v>287</v>
      </c>
      <c r="AX850" s="62" t="n">
        <v>1</v>
      </c>
      <c r="AY850" s="58" t="n">
        <v>0.13</v>
      </c>
    </row>
    <row r="851" customFormat="false" ht="16.15" hidden="false" customHeight="false" outlineLevel="0" collapsed="false">
      <c r="A851" s="68" t="s">
        <v>253</v>
      </c>
      <c r="B851" s="2" t="s">
        <v>201</v>
      </c>
      <c r="C851" s="57" t="n">
        <v>8.02</v>
      </c>
      <c r="D851" s="62" t="n">
        <v>16.7</v>
      </c>
      <c r="E851" s="62" t="n">
        <v>56.1</v>
      </c>
      <c r="F851" s="62" t="n">
        <f aca="false">E851*0.7</f>
        <v>39.27</v>
      </c>
      <c r="G851" s="58" t="n">
        <v>0.63</v>
      </c>
      <c r="H851" s="58" t="n">
        <v>7.98</v>
      </c>
      <c r="I851" s="62" t="n">
        <v>16.7</v>
      </c>
      <c r="J851" s="63"/>
      <c r="K851" s="63"/>
      <c r="L851" s="62" t="n">
        <v>0.94</v>
      </c>
      <c r="M851" s="58" t="n">
        <v>7.99</v>
      </c>
      <c r="N851" s="62" t="n">
        <v>16.7</v>
      </c>
      <c r="O851" s="63"/>
      <c r="P851" s="63"/>
      <c r="Q851" s="62" t="n">
        <v>0.97</v>
      </c>
      <c r="R851" s="58" t="n">
        <v>7.96</v>
      </c>
      <c r="S851" s="62" t="n">
        <v>16.6</v>
      </c>
      <c r="T851" s="63"/>
      <c r="U851" s="63"/>
      <c r="V851" s="58" t="n">
        <v>0.08</v>
      </c>
      <c r="W851" s="58" t="n">
        <v>7.95</v>
      </c>
      <c r="X851" s="62" t="n">
        <v>16.6</v>
      </c>
      <c r="Y851" s="63"/>
      <c r="Z851" s="63"/>
      <c r="AA851" s="58" t="n">
        <v>0.05</v>
      </c>
      <c r="AB851" s="58" t="n">
        <v>7.94</v>
      </c>
      <c r="AC851" s="62" t="n">
        <v>16.6</v>
      </c>
      <c r="AD851" s="62" t="n">
        <v>56.1</v>
      </c>
      <c r="AE851" s="62" t="n">
        <f aca="false">AD851*0.7</f>
        <v>39.27</v>
      </c>
      <c r="AF851" s="62"/>
      <c r="AG851" s="58" t="n">
        <v>0.66</v>
      </c>
      <c r="AH851" s="62"/>
      <c r="AI851" s="58" t="n">
        <v>7.94</v>
      </c>
      <c r="AJ851" s="62" t="n">
        <v>16.6</v>
      </c>
      <c r="AK851" s="62" t="n">
        <v>56</v>
      </c>
      <c r="AL851" s="62" t="n">
        <f aca="false">AK851*0.7</f>
        <v>39.2</v>
      </c>
      <c r="AM851" s="62"/>
      <c r="AN851" s="58" t="n">
        <v>0.42</v>
      </c>
      <c r="AO851" s="58" t="n">
        <v>6.4</v>
      </c>
      <c r="AP851" s="62" t="n">
        <v>17.2</v>
      </c>
      <c r="AQ851" s="62" t="n">
        <v>298</v>
      </c>
      <c r="AR851" s="62" t="n">
        <f aca="false">0.55*AQ851</f>
        <v>163.9</v>
      </c>
      <c r="AS851" s="58" t="n">
        <v>0.02</v>
      </c>
      <c r="AT851" s="58" t="n">
        <v>8.22</v>
      </c>
      <c r="AU851" s="62" t="n">
        <v>17.9</v>
      </c>
      <c r="AV851" s="62" t="n">
        <v>405</v>
      </c>
      <c r="AW851" s="62" t="n">
        <f aca="false">AV851*0.7</f>
        <v>283.5</v>
      </c>
      <c r="AX851" s="62" t="n">
        <v>1</v>
      </c>
      <c r="AY851" s="58" t="n">
        <v>0.19</v>
      </c>
    </row>
    <row r="852" customFormat="false" ht="16.15" hidden="false" customHeight="false" outlineLevel="0" collapsed="false">
      <c r="A852" s="68" t="s">
        <v>254</v>
      </c>
      <c r="B852" s="2" t="s">
        <v>201</v>
      </c>
      <c r="C852" s="57" t="n">
        <v>8.06</v>
      </c>
      <c r="D852" s="62" t="n">
        <v>16.9</v>
      </c>
      <c r="E852" s="62" t="n">
        <v>56.2</v>
      </c>
      <c r="F852" s="62" t="n">
        <f aca="false">E852*0.7</f>
        <v>39.34</v>
      </c>
      <c r="G852" s="58" t="n">
        <v>0.52</v>
      </c>
      <c r="H852" s="58" t="n">
        <v>8.02</v>
      </c>
      <c r="I852" s="62" t="n">
        <v>16.6</v>
      </c>
      <c r="J852" s="63"/>
      <c r="K852" s="63"/>
      <c r="L852" s="62" t="n">
        <v>0.94</v>
      </c>
      <c r="M852" s="58" t="n">
        <v>8.01</v>
      </c>
      <c r="N852" s="62" t="n">
        <v>16.6</v>
      </c>
      <c r="O852" s="63"/>
      <c r="P852" s="63"/>
      <c r="Q852" s="62" t="n">
        <v>0.69</v>
      </c>
      <c r="R852" s="58" t="n">
        <v>7.97</v>
      </c>
      <c r="S852" s="62" t="n">
        <v>16.6</v>
      </c>
      <c r="T852" s="63"/>
      <c r="U852" s="63"/>
      <c r="V852" s="58" t="n">
        <v>0.07</v>
      </c>
      <c r="W852" s="58" t="n">
        <v>7.97</v>
      </c>
      <c r="X852" s="62" t="n">
        <v>16.6</v>
      </c>
      <c r="Y852" s="63"/>
      <c r="Z852" s="63"/>
      <c r="AA852" s="58" t="n">
        <v>0.07</v>
      </c>
      <c r="AB852" s="58" t="n">
        <v>7.95</v>
      </c>
      <c r="AC852" s="62" t="n">
        <v>16.8</v>
      </c>
      <c r="AD852" s="62" t="n">
        <v>56.1</v>
      </c>
      <c r="AE852" s="62" t="n">
        <f aca="false">AD852*0.7</f>
        <v>39.27</v>
      </c>
      <c r="AF852" s="62"/>
      <c r="AG852" s="58" t="n">
        <v>0.03</v>
      </c>
      <c r="AH852" s="62"/>
      <c r="AI852" s="58" t="n">
        <v>7.94</v>
      </c>
      <c r="AJ852" s="62" t="n">
        <v>16.8</v>
      </c>
      <c r="AK852" s="62" t="n">
        <v>56.1</v>
      </c>
      <c r="AL852" s="62" t="n">
        <f aca="false">AK852*0.7</f>
        <v>39.27</v>
      </c>
      <c r="AM852" s="62"/>
      <c r="AN852" s="58" t="n">
        <v>0.02</v>
      </c>
      <c r="AO852" s="58" t="n">
        <v>6.33</v>
      </c>
      <c r="AP852" s="62" t="n">
        <v>17.4</v>
      </c>
      <c r="AQ852" s="62" t="n">
        <v>293</v>
      </c>
      <c r="AR852" s="62" t="n">
        <f aca="false">0.55*AQ852</f>
        <v>161.15</v>
      </c>
      <c r="AS852" s="58" t="n">
        <v>0.01</v>
      </c>
      <c r="AT852" s="58" t="n">
        <v>8.36</v>
      </c>
      <c r="AU852" s="62" t="n">
        <v>17.5</v>
      </c>
      <c r="AV852" s="62" t="n">
        <v>408</v>
      </c>
      <c r="AW852" s="62" t="n">
        <f aca="false">AV852*0.7</f>
        <v>285.6</v>
      </c>
      <c r="AX852" s="62" t="n">
        <v>1</v>
      </c>
      <c r="AY852" s="58" t="n">
        <v>0.26</v>
      </c>
    </row>
    <row r="853" customFormat="false" ht="16.15" hidden="false" customHeight="false" outlineLevel="0" collapsed="false">
      <c r="A853" s="68" t="s">
        <v>255</v>
      </c>
      <c r="B853" s="2" t="s">
        <v>201</v>
      </c>
      <c r="C853" s="57" t="n">
        <v>8.04</v>
      </c>
      <c r="D853" s="62" t="n">
        <v>16.4</v>
      </c>
      <c r="E853" s="62" t="n">
        <v>56</v>
      </c>
      <c r="F853" s="62" t="n">
        <f aca="false">E853*0.7</f>
        <v>39.2</v>
      </c>
      <c r="G853" s="58" t="n">
        <v>1.32</v>
      </c>
      <c r="H853" s="58" t="n">
        <v>7.97</v>
      </c>
      <c r="I853" s="62" t="n">
        <v>16.4</v>
      </c>
      <c r="J853" s="63"/>
      <c r="K853" s="63"/>
      <c r="L853" s="62" t="n">
        <v>0.69</v>
      </c>
      <c r="M853" s="58" t="n">
        <v>7.97</v>
      </c>
      <c r="N853" s="62" t="n">
        <v>16.4</v>
      </c>
      <c r="O853" s="63"/>
      <c r="P853" s="63"/>
      <c r="Q853" s="62" t="n">
        <v>0.94</v>
      </c>
      <c r="R853" s="58" t="n">
        <v>7.94</v>
      </c>
      <c r="S853" s="62" t="n">
        <v>16.3</v>
      </c>
      <c r="T853" s="63"/>
      <c r="U853" s="63"/>
      <c r="V853" s="58" t="n">
        <v>0.06</v>
      </c>
      <c r="W853" s="58" t="n">
        <v>7.94</v>
      </c>
      <c r="X853" s="62" t="n">
        <v>16.3</v>
      </c>
      <c r="Y853" s="63"/>
      <c r="Z853" s="63"/>
      <c r="AA853" s="58" t="n">
        <v>0.09</v>
      </c>
      <c r="AB853" s="58" t="n">
        <v>7.98</v>
      </c>
      <c r="AC853" s="62" t="n">
        <v>16.3</v>
      </c>
      <c r="AD853" s="62" t="n">
        <v>56</v>
      </c>
      <c r="AE853" s="62" t="n">
        <f aca="false">AD853*0.7</f>
        <v>39.2</v>
      </c>
      <c r="AF853" s="62"/>
      <c r="AG853" s="58" t="n">
        <v>0</v>
      </c>
      <c r="AH853" s="62"/>
      <c r="AI853" s="58" t="n">
        <v>7.99</v>
      </c>
      <c r="AJ853" s="62" t="n">
        <v>16.3</v>
      </c>
      <c r="AK853" s="62" t="n">
        <v>56</v>
      </c>
      <c r="AL853" s="62" t="n">
        <f aca="false">AK853*0.7</f>
        <v>39.2</v>
      </c>
      <c r="AM853" s="62"/>
      <c r="AN853" s="58" t="n">
        <v>0</v>
      </c>
      <c r="AO853" s="58" t="n">
        <v>6.52</v>
      </c>
      <c r="AP853" s="62" t="n">
        <v>17.1</v>
      </c>
      <c r="AQ853" s="62" t="n">
        <v>290</v>
      </c>
      <c r="AR853" s="62" t="n">
        <f aca="false">0.55*AQ853</f>
        <v>159.5</v>
      </c>
      <c r="AS853" s="58" t="n">
        <v>0</v>
      </c>
      <c r="AT853" s="58" t="n">
        <v>8.28</v>
      </c>
      <c r="AU853" s="62" t="n">
        <v>17.9</v>
      </c>
      <c r="AV853" s="62" t="n">
        <v>410</v>
      </c>
      <c r="AW853" s="62" t="n">
        <f aca="false">AV853*0.7</f>
        <v>287</v>
      </c>
      <c r="AX853" s="62" t="n">
        <v>1</v>
      </c>
      <c r="AY853" s="58" t="n">
        <v>0.4</v>
      </c>
    </row>
    <row r="854" customFormat="false" ht="16.15" hidden="false" customHeight="false" outlineLevel="0" collapsed="false">
      <c r="A854" s="68" t="s">
        <v>256</v>
      </c>
      <c r="B854" s="2" t="s">
        <v>201</v>
      </c>
      <c r="C854" s="57" t="n">
        <v>8.01</v>
      </c>
      <c r="D854" s="62" t="n">
        <v>16.1</v>
      </c>
      <c r="E854" s="62" t="n">
        <v>56.2</v>
      </c>
      <c r="F854" s="62" t="n">
        <f aca="false">E854*0.7</f>
        <v>39.34</v>
      </c>
      <c r="G854" s="58" t="n">
        <v>0.45</v>
      </c>
      <c r="H854" s="58" t="n">
        <v>8</v>
      </c>
      <c r="I854" s="62" t="n">
        <v>16.3</v>
      </c>
      <c r="J854" s="63"/>
      <c r="K854" s="63"/>
      <c r="L854" s="62" t="n">
        <v>0.77</v>
      </c>
      <c r="M854" s="58" t="n">
        <v>8</v>
      </c>
      <c r="N854" s="62" t="n">
        <v>16.3</v>
      </c>
      <c r="O854" s="63"/>
      <c r="P854" s="63"/>
      <c r="Q854" s="62" t="n">
        <v>0.76</v>
      </c>
      <c r="R854" s="58" t="n">
        <v>7.98</v>
      </c>
      <c r="S854" s="62" t="n">
        <v>16.3</v>
      </c>
      <c r="T854" s="63"/>
      <c r="U854" s="63"/>
      <c r="V854" s="58" t="n">
        <v>0.22</v>
      </c>
      <c r="W854" s="58" t="n">
        <v>7.97</v>
      </c>
      <c r="X854" s="62" t="n">
        <v>16.3</v>
      </c>
      <c r="Y854" s="63"/>
      <c r="Z854" s="63"/>
      <c r="AA854" s="58" t="n">
        <v>0.19</v>
      </c>
      <c r="AB854" s="58" t="n">
        <v>8.02</v>
      </c>
      <c r="AC854" s="62" t="n">
        <v>16.3</v>
      </c>
      <c r="AD854" s="62" t="n">
        <v>56.2</v>
      </c>
      <c r="AE854" s="62" t="n">
        <f aca="false">AD854*0.7</f>
        <v>39.34</v>
      </c>
      <c r="AF854" s="62"/>
      <c r="AG854" s="58" t="n">
        <v>0.15</v>
      </c>
      <c r="AH854" s="62"/>
      <c r="AI854" s="58" t="n">
        <v>8.02</v>
      </c>
      <c r="AJ854" s="62" t="n">
        <v>16.3</v>
      </c>
      <c r="AK854" s="62" t="n">
        <v>56.2</v>
      </c>
      <c r="AL854" s="62" t="n">
        <f aca="false">AK854*0.7</f>
        <v>39.34</v>
      </c>
      <c r="AM854" s="62"/>
      <c r="AN854" s="58" t="n">
        <v>0.14</v>
      </c>
      <c r="AO854" s="58" t="n">
        <v>6.55</v>
      </c>
      <c r="AP854" s="62" t="n">
        <v>17</v>
      </c>
      <c r="AQ854" s="62" t="n">
        <v>290</v>
      </c>
      <c r="AR854" s="62" t="n">
        <f aca="false">0.55*AQ854</f>
        <v>159.5</v>
      </c>
      <c r="AS854" s="58" t="n">
        <v>0</v>
      </c>
      <c r="AT854" s="58" t="n">
        <v>8.27</v>
      </c>
      <c r="AU854" s="62" t="n">
        <v>17.9</v>
      </c>
      <c r="AV854" s="62" t="n">
        <v>431</v>
      </c>
      <c r="AW854" s="62" t="n">
        <f aca="false">AV854*0.7</f>
        <v>301.7</v>
      </c>
      <c r="AX854" s="62" t="n">
        <v>1</v>
      </c>
      <c r="AY854" s="58" t="n">
        <v>0.47</v>
      </c>
    </row>
    <row r="855" customFormat="false" ht="16.15" hidden="false" customHeight="false" outlineLevel="0" collapsed="false">
      <c r="A855" s="68" t="s">
        <v>257</v>
      </c>
      <c r="B855" s="2" t="s">
        <v>201</v>
      </c>
      <c r="C855" s="78" t="n">
        <v>8.09</v>
      </c>
      <c r="D855" s="77" t="n">
        <v>16.5</v>
      </c>
      <c r="E855" s="77" t="n">
        <v>56.2</v>
      </c>
      <c r="F855" s="77" t="n">
        <f aca="false">E855*0.7</f>
        <v>39.34</v>
      </c>
      <c r="G855" s="76" t="n">
        <v>0.67</v>
      </c>
      <c r="H855" s="76" t="n">
        <v>8.02</v>
      </c>
      <c r="I855" s="77" t="n">
        <v>16.6</v>
      </c>
      <c r="J855" s="79"/>
      <c r="K855" s="79"/>
      <c r="L855" s="77" t="n">
        <v>0.65</v>
      </c>
      <c r="M855" s="76" t="n">
        <v>8.02</v>
      </c>
      <c r="N855" s="77" t="n">
        <v>16.5</v>
      </c>
      <c r="O855" s="79"/>
      <c r="P855" s="79"/>
      <c r="Q855" s="77" t="n">
        <v>0.56</v>
      </c>
      <c r="R855" s="76" t="n">
        <v>8</v>
      </c>
      <c r="S855" s="77" t="n">
        <v>16.5</v>
      </c>
      <c r="T855" s="79"/>
      <c r="U855" s="79"/>
      <c r="V855" s="76" t="n">
        <v>0.06</v>
      </c>
      <c r="W855" s="76" t="n">
        <v>7.99</v>
      </c>
      <c r="X855" s="77" t="n">
        <v>16.5</v>
      </c>
      <c r="Y855" s="79"/>
      <c r="Z855" s="79"/>
      <c r="AA855" s="76" t="n">
        <v>0.05</v>
      </c>
      <c r="AB855" s="76" t="n">
        <v>7.96</v>
      </c>
      <c r="AC855" s="77" t="n">
        <v>16.5</v>
      </c>
      <c r="AD855" s="77" t="n">
        <v>56.1</v>
      </c>
      <c r="AE855" s="77" t="n">
        <f aca="false">AD855*0.7</f>
        <v>39.27</v>
      </c>
      <c r="AF855" s="77"/>
      <c r="AG855" s="76" t="n">
        <v>0.06</v>
      </c>
      <c r="AH855" s="77"/>
      <c r="AI855" s="76" t="n">
        <v>7.96</v>
      </c>
      <c r="AJ855" s="77" t="n">
        <v>16.5</v>
      </c>
      <c r="AK855" s="77" t="n">
        <v>56.1</v>
      </c>
      <c r="AL855" s="77" t="n">
        <f aca="false">AK855*0.7</f>
        <v>39.27</v>
      </c>
      <c r="AM855" s="77"/>
      <c r="AN855" s="76" t="n">
        <v>0.03</v>
      </c>
      <c r="AO855" s="76" t="n">
        <v>6.5</v>
      </c>
      <c r="AP855" s="77" t="n">
        <v>17.5</v>
      </c>
      <c r="AQ855" s="77" t="n">
        <v>291</v>
      </c>
      <c r="AR855" s="77" t="n">
        <f aca="false">0.55*AQ855</f>
        <v>160.05</v>
      </c>
      <c r="AS855" s="76" t="n">
        <v>0</v>
      </c>
      <c r="AT855" s="76" t="n">
        <v>8.27</v>
      </c>
      <c r="AU855" s="77" t="n">
        <v>17.9</v>
      </c>
      <c r="AV855" s="77" t="n">
        <v>407</v>
      </c>
      <c r="AW855" s="77" t="n">
        <f aca="false">AV855*0.55</f>
        <v>223.85</v>
      </c>
      <c r="AX855" s="77" t="n">
        <v>1</v>
      </c>
      <c r="AY855" s="76" t="n">
        <v>0.31</v>
      </c>
    </row>
    <row r="856" customFormat="false" ht="16.15" hidden="false" customHeight="false" outlineLevel="0" collapsed="false">
      <c r="A856" s="80" t="n">
        <v>45658</v>
      </c>
      <c r="B856" s="2" t="s">
        <v>51</v>
      </c>
      <c r="C856" s="81" t="n">
        <v>8.06</v>
      </c>
      <c r="D856" s="82" t="n">
        <v>16.1</v>
      </c>
      <c r="E856" s="82" t="n">
        <v>56</v>
      </c>
      <c r="F856" s="82" t="n">
        <v>39.2</v>
      </c>
      <c r="G856" s="82" t="n">
        <v>0.67</v>
      </c>
      <c r="H856" s="82" t="n">
        <v>8.02</v>
      </c>
      <c r="I856" s="82" t="n">
        <v>16.4</v>
      </c>
      <c r="J856" s="83"/>
      <c r="K856" s="83"/>
      <c r="L856" s="82" t="n">
        <v>0.9</v>
      </c>
      <c r="M856" s="82" t="n">
        <v>8.02</v>
      </c>
      <c r="N856" s="82" t="n">
        <v>16.4</v>
      </c>
      <c r="O856" s="83"/>
      <c r="P856" s="83"/>
      <c r="Q856" s="82" t="n">
        <v>0.69</v>
      </c>
      <c r="R856" s="82" t="n">
        <v>8.01</v>
      </c>
      <c r="S856" s="82" t="n">
        <v>16.4</v>
      </c>
      <c r="T856" s="83"/>
      <c r="U856" s="83"/>
      <c r="V856" s="84" t="n">
        <v>0.08</v>
      </c>
      <c r="W856" s="82" t="n">
        <v>8.01</v>
      </c>
      <c r="X856" s="82" t="n">
        <v>16.5</v>
      </c>
      <c r="Y856" s="83"/>
      <c r="Z856" s="83"/>
      <c r="AA856" s="84" t="n">
        <v>0.09</v>
      </c>
      <c r="AB856" s="82" t="n">
        <v>8</v>
      </c>
      <c r="AC856" s="82" t="n">
        <v>16.5</v>
      </c>
      <c r="AD856" s="82" t="n">
        <v>56</v>
      </c>
      <c r="AE856" s="82" t="n">
        <v>39.2</v>
      </c>
      <c r="AF856" s="85"/>
      <c r="AG856" s="84" t="n">
        <v>0.02</v>
      </c>
      <c r="AH856" s="85"/>
      <c r="AI856" s="82" t="n">
        <v>8</v>
      </c>
      <c r="AJ856" s="82" t="n">
        <v>16.5</v>
      </c>
      <c r="AK856" s="82" t="n">
        <v>56</v>
      </c>
      <c r="AL856" s="82" t="n">
        <v>39.2</v>
      </c>
      <c r="AM856" s="85"/>
      <c r="AN856" s="84" t="n">
        <v>0.01</v>
      </c>
      <c r="AO856" s="82" t="n">
        <v>6.52</v>
      </c>
      <c r="AP856" s="82" t="n">
        <v>17.3</v>
      </c>
      <c r="AQ856" s="82" t="n">
        <v>276</v>
      </c>
      <c r="AR856" s="82" t="n">
        <v>151.8</v>
      </c>
      <c r="AS856" s="84" t="n">
        <v>0.01</v>
      </c>
      <c r="AT856" s="82" t="n">
        <v>8.39</v>
      </c>
      <c r="AU856" s="82" t="n">
        <v>17.1</v>
      </c>
      <c r="AV856" s="82" t="n">
        <v>405</v>
      </c>
      <c r="AW856" s="82" t="n">
        <v>222.75</v>
      </c>
      <c r="AX856" s="82" t="n">
        <v>1</v>
      </c>
      <c r="AY856" s="84" t="n">
        <v>0.32</v>
      </c>
    </row>
    <row r="857" customFormat="false" ht="16.15" hidden="false" customHeight="false" outlineLevel="0" collapsed="false">
      <c r="A857" s="80" t="n">
        <v>45658</v>
      </c>
      <c r="B857" s="2" t="s">
        <v>201</v>
      </c>
      <c r="C857" s="86" t="n">
        <v>8.02</v>
      </c>
      <c r="D857" s="82" t="n">
        <v>16.2</v>
      </c>
      <c r="E857" s="82" t="n">
        <v>56</v>
      </c>
      <c r="F857" s="82" t="n">
        <v>39.2</v>
      </c>
      <c r="G857" s="84" t="n">
        <v>0.74</v>
      </c>
      <c r="H857" s="84" t="n">
        <v>8.03</v>
      </c>
      <c r="I857" s="82" t="n">
        <v>16.3</v>
      </c>
      <c r="J857" s="83"/>
      <c r="K857" s="83"/>
      <c r="L857" s="82" t="n">
        <v>1.02</v>
      </c>
      <c r="M857" s="84" t="n">
        <v>8.03</v>
      </c>
      <c r="N857" s="82" t="n">
        <v>16.3</v>
      </c>
      <c r="O857" s="83"/>
      <c r="P857" s="83"/>
      <c r="Q857" s="82" t="n">
        <v>0.85</v>
      </c>
      <c r="R857" s="84" t="n">
        <v>8.02</v>
      </c>
      <c r="S857" s="82" t="n">
        <v>16.3</v>
      </c>
      <c r="T857" s="83"/>
      <c r="U857" s="83"/>
      <c r="V857" s="84" t="n">
        <v>0.06</v>
      </c>
      <c r="W857" s="84" t="n">
        <v>8.02</v>
      </c>
      <c r="X857" s="82" t="n">
        <v>16.3</v>
      </c>
      <c r="Y857" s="83"/>
      <c r="Z857" s="83"/>
      <c r="AA857" s="84" t="n">
        <v>0.05</v>
      </c>
      <c r="AB857" s="84" t="n">
        <v>8.02</v>
      </c>
      <c r="AC857" s="82" t="n">
        <v>17</v>
      </c>
      <c r="AD857" s="82" t="n">
        <v>56</v>
      </c>
      <c r="AE857" s="82" t="n">
        <v>39.2</v>
      </c>
      <c r="AF857" s="85"/>
      <c r="AG857" s="84" t="n">
        <v>0.01</v>
      </c>
      <c r="AH857" s="85"/>
      <c r="AI857" s="84" t="n">
        <v>8.02</v>
      </c>
      <c r="AJ857" s="82" t="n">
        <v>17</v>
      </c>
      <c r="AK857" s="82" t="n">
        <v>56</v>
      </c>
      <c r="AL857" s="82" t="n">
        <v>39.2</v>
      </c>
      <c r="AM857" s="85"/>
      <c r="AN857" s="84" t="n">
        <v>0.01</v>
      </c>
      <c r="AO857" s="84" t="n">
        <v>6.54</v>
      </c>
      <c r="AP857" s="82" t="n">
        <v>17.5</v>
      </c>
      <c r="AQ857" s="82" t="n">
        <v>276</v>
      </c>
      <c r="AR857" s="82" t="n">
        <v>151.8</v>
      </c>
      <c r="AS857" s="84" t="n">
        <v>0.01</v>
      </c>
      <c r="AT857" s="84" t="n">
        <v>8.25</v>
      </c>
      <c r="AU857" s="82" t="n">
        <v>17.7</v>
      </c>
      <c r="AV857" s="82" t="n">
        <v>404</v>
      </c>
      <c r="AW857" s="82" t="n">
        <v>222.2</v>
      </c>
      <c r="AX857" s="82" t="n">
        <v>1</v>
      </c>
      <c r="AY857" s="84" t="n">
        <v>0.23</v>
      </c>
    </row>
    <row r="858" customFormat="false" ht="16.15" hidden="false" customHeight="false" outlineLevel="0" collapsed="false">
      <c r="A858" s="80" t="n">
        <v>45658</v>
      </c>
      <c r="B858" s="2" t="s">
        <v>258</v>
      </c>
      <c r="C858" s="86" t="n">
        <v>8.04</v>
      </c>
      <c r="D858" s="82" t="n">
        <v>16.8</v>
      </c>
      <c r="E858" s="82" t="n">
        <v>56</v>
      </c>
      <c r="F858" s="82" t="n">
        <v>39.2</v>
      </c>
      <c r="G858" s="84" t="n">
        <v>0.72</v>
      </c>
      <c r="H858" s="84" t="n">
        <v>8.03</v>
      </c>
      <c r="I858" s="82" t="n">
        <v>17.5</v>
      </c>
      <c r="J858" s="83"/>
      <c r="K858" s="83"/>
      <c r="L858" s="82" t="n">
        <v>0.92</v>
      </c>
      <c r="M858" s="84" t="n">
        <v>8.03</v>
      </c>
      <c r="N858" s="82" t="n">
        <v>17.5</v>
      </c>
      <c r="O858" s="83"/>
      <c r="P858" s="83"/>
      <c r="Q858" s="84" t="n">
        <v>0.85</v>
      </c>
      <c r="R858" s="84" t="n">
        <v>8.02</v>
      </c>
      <c r="S858" s="82" t="n">
        <v>17.6</v>
      </c>
      <c r="T858" s="83"/>
      <c r="U858" s="83"/>
      <c r="V858" s="84" t="n">
        <v>0.03</v>
      </c>
      <c r="W858" s="84" t="n">
        <v>8.02</v>
      </c>
      <c r="X858" s="82" t="n">
        <v>17.6</v>
      </c>
      <c r="Y858" s="83"/>
      <c r="Z858" s="83"/>
      <c r="AA858" s="84" t="n">
        <v>0.03</v>
      </c>
      <c r="AB858" s="84" t="n">
        <v>8.01</v>
      </c>
      <c r="AC858" s="82" t="n">
        <v>17.7</v>
      </c>
      <c r="AD858" s="82" t="n">
        <v>56</v>
      </c>
      <c r="AE858" s="82" t="n">
        <v>39.2</v>
      </c>
      <c r="AF858" s="85"/>
      <c r="AG858" s="84" t="n">
        <v>0.01</v>
      </c>
      <c r="AH858" s="85"/>
      <c r="AI858" s="84" t="n">
        <v>8.01</v>
      </c>
      <c r="AJ858" s="82" t="n">
        <v>17.7</v>
      </c>
      <c r="AK858" s="82" t="n">
        <v>56</v>
      </c>
      <c r="AL858" s="82" t="n">
        <v>39.2</v>
      </c>
      <c r="AM858" s="85"/>
      <c r="AN858" s="84" t="n">
        <v>0.01</v>
      </c>
      <c r="AO858" s="84" t="n">
        <v>6.35</v>
      </c>
      <c r="AP858" s="82" t="n">
        <v>18</v>
      </c>
      <c r="AQ858" s="82" t="n">
        <v>296</v>
      </c>
      <c r="AR858" s="82" t="n">
        <v>162.8</v>
      </c>
      <c r="AS858" s="84" t="n">
        <v>0.01</v>
      </c>
      <c r="AT858" s="84" t="n">
        <v>8.27</v>
      </c>
      <c r="AU858" s="82" t="n">
        <v>18.2</v>
      </c>
      <c r="AV858" s="82" t="n">
        <v>404</v>
      </c>
      <c r="AW858" s="82" t="n">
        <v>222.2</v>
      </c>
      <c r="AX858" s="82" t="n">
        <v>1</v>
      </c>
      <c r="AY858" s="84" t="n">
        <v>0.2</v>
      </c>
    </row>
    <row r="859" customFormat="false" ht="16.15" hidden="false" customHeight="false" outlineLevel="0" collapsed="false">
      <c r="A859" s="80" t="n">
        <v>45689</v>
      </c>
      <c r="B859" s="2" t="s">
        <v>51</v>
      </c>
      <c r="C859" s="81" t="n">
        <v>8.02</v>
      </c>
      <c r="D859" s="82" t="n">
        <v>15.8</v>
      </c>
      <c r="E859" s="82" t="n">
        <v>56</v>
      </c>
      <c r="F859" s="82" t="n">
        <v>39.2</v>
      </c>
      <c r="G859" s="82" t="n">
        <v>0.48</v>
      </c>
      <c r="H859" s="82" t="n">
        <v>7.96</v>
      </c>
      <c r="I859" s="82" t="n">
        <v>16.2</v>
      </c>
      <c r="J859" s="83"/>
      <c r="K859" s="83"/>
      <c r="L859" s="82" t="n">
        <v>0.69</v>
      </c>
      <c r="M859" s="82" t="n">
        <v>7.96</v>
      </c>
      <c r="N859" s="82" t="n">
        <v>16.2</v>
      </c>
      <c r="O859" s="83"/>
      <c r="P859" s="83"/>
      <c r="Q859" s="82" t="n">
        <v>0.82</v>
      </c>
      <c r="R859" s="82" t="n">
        <v>7.95</v>
      </c>
      <c r="S859" s="82" t="n">
        <v>16.5</v>
      </c>
      <c r="T859" s="83"/>
      <c r="U859" s="83"/>
      <c r="V859" s="84" t="n">
        <v>0.03</v>
      </c>
      <c r="W859" s="82" t="n">
        <v>7.95</v>
      </c>
      <c r="X859" s="82" t="n">
        <v>16.5</v>
      </c>
      <c r="Y859" s="83"/>
      <c r="Z859" s="83"/>
      <c r="AA859" s="84" t="n">
        <v>0.03</v>
      </c>
      <c r="AB859" s="82" t="n">
        <v>7.94</v>
      </c>
      <c r="AC859" s="82" t="n">
        <v>17</v>
      </c>
      <c r="AD859" s="82" t="n">
        <v>56</v>
      </c>
      <c r="AE859" s="82" t="n">
        <v>39.2</v>
      </c>
      <c r="AF859" s="85"/>
      <c r="AG859" s="84" t="n">
        <v>0.01</v>
      </c>
      <c r="AH859" s="85"/>
      <c r="AI859" s="82" t="n">
        <v>7.94</v>
      </c>
      <c r="AJ859" s="82" t="n">
        <v>17</v>
      </c>
      <c r="AK859" s="82" t="n">
        <v>56</v>
      </c>
      <c r="AL859" s="82" t="n">
        <v>39.2</v>
      </c>
      <c r="AM859" s="85"/>
      <c r="AN859" s="84" t="n">
        <v>0.01</v>
      </c>
      <c r="AO859" s="82" t="n">
        <v>6.32</v>
      </c>
      <c r="AP859" s="82" t="n">
        <v>17.4</v>
      </c>
      <c r="AQ859" s="82" t="n">
        <v>296</v>
      </c>
      <c r="AR859" s="82" t="n">
        <v>162.8</v>
      </c>
      <c r="AS859" s="84" t="n">
        <v>0.01</v>
      </c>
      <c r="AT859" s="82" t="n">
        <v>8.12</v>
      </c>
      <c r="AU859" s="82" t="n">
        <v>17.5</v>
      </c>
      <c r="AV859" s="82" t="n">
        <v>404</v>
      </c>
      <c r="AW859" s="82" t="n">
        <v>222.2</v>
      </c>
      <c r="AX859" s="82" t="n">
        <v>1</v>
      </c>
      <c r="AY859" s="84" t="n">
        <v>0.12</v>
      </c>
    </row>
    <row r="860" customFormat="false" ht="16.15" hidden="false" customHeight="false" outlineLevel="0" collapsed="false">
      <c r="A860" s="80" t="n">
        <v>45689</v>
      </c>
      <c r="B860" s="2" t="s">
        <v>201</v>
      </c>
      <c r="C860" s="86" t="n">
        <v>8.01</v>
      </c>
      <c r="D860" s="82" t="n">
        <v>16.4</v>
      </c>
      <c r="E860" s="82" t="n">
        <v>56.2</v>
      </c>
      <c r="F860" s="82" t="n">
        <v>39.34</v>
      </c>
      <c r="G860" s="84" t="n">
        <v>0.52</v>
      </c>
      <c r="H860" s="84" t="n">
        <v>7.99</v>
      </c>
      <c r="I860" s="82" t="n">
        <v>16.4</v>
      </c>
      <c r="J860" s="83"/>
      <c r="K860" s="83"/>
      <c r="L860" s="82" t="n">
        <v>0.76</v>
      </c>
      <c r="M860" s="84" t="n">
        <v>8</v>
      </c>
      <c r="N860" s="82" t="n">
        <v>16.4</v>
      </c>
      <c r="O860" s="83"/>
      <c r="P860" s="83"/>
      <c r="Q860" s="82" t="n">
        <v>0.72</v>
      </c>
      <c r="R860" s="84" t="n">
        <v>7.99</v>
      </c>
      <c r="S860" s="82" t="n">
        <v>16.4</v>
      </c>
      <c r="T860" s="83"/>
      <c r="U860" s="83"/>
      <c r="V860" s="84" t="n">
        <v>0.13</v>
      </c>
      <c r="W860" s="84" t="n">
        <v>7.97</v>
      </c>
      <c r="X860" s="82" t="n">
        <v>16.6</v>
      </c>
      <c r="Y860" s="83"/>
      <c r="Z860" s="83"/>
      <c r="AA860" s="84" t="n">
        <v>0.14</v>
      </c>
      <c r="AB860" s="84" t="n">
        <v>7.97</v>
      </c>
      <c r="AC860" s="82" t="n">
        <v>16.6</v>
      </c>
      <c r="AD860" s="82" t="n">
        <v>56</v>
      </c>
      <c r="AE860" s="82" t="n">
        <v>39.2</v>
      </c>
      <c r="AF860" s="85"/>
      <c r="AG860" s="84" t="n">
        <v>0.06</v>
      </c>
      <c r="AH860" s="85"/>
      <c r="AI860" s="84" t="n">
        <v>7.95</v>
      </c>
      <c r="AJ860" s="82" t="n">
        <v>16.6</v>
      </c>
      <c r="AK860" s="82" t="n">
        <v>56</v>
      </c>
      <c r="AL860" s="82" t="n">
        <v>39.2</v>
      </c>
      <c r="AM860" s="85"/>
      <c r="AN860" s="84" t="n">
        <v>0.08</v>
      </c>
      <c r="AO860" s="84" t="n">
        <v>6.53</v>
      </c>
      <c r="AP860" s="82" t="n">
        <v>17.2</v>
      </c>
      <c r="AQ860" s="82" t="n">
        <v>289</v>
      </c>
      <c r="AR860" s="82" t="n">
        <v>158.95</v>
      </c>
      <c r="AS860" s="84" t="n">
        <v>0.01</v>
      </c>
      <c r="AT860" s="84" t="n">
        <v>8.34</v>
      </c>
      <c r="AU860" s="82" t="n">
        <v>17.5</v>
      </c>
      <c r="AV860" s="82" t="n">
        <v>394</v>
      </c>
      <c r="AW860" s="82" t="n">
        <v>216.7</v>
      </c>
      <c r="AX860" s="82" t="n">
        <v>1</v>
      </c>
      <c r="AY860" s="84" t="n">
        <v>0.26</v>
      </c>
    </row>
    <row r="861" customFormat="false" ht="16.15" hidden="false" customHeight="false" outlineLevel="0" collapsed="false">
      <c r="A861" s="80" t="n">
        <v>45689</v>
      </c>
      <c r="B861" s="2" t="s">
        <v>258</v>
      </c>
      <c r="C861" s="86" t="n">
        <v>7.99</v>
      </c>
      <c r="D861" s="82" t="n">
        <v>17.3</v>
      </c>
      <c r="E861" s="82" t="n">
        <v>56.2</v>
      </c>
      <c r="F861" s="82" t="n">
        <v>39.34</v>
      </c>
      <c r="G861" s="84" t="n">
        <v>0.78</v>
      </c>
      <c r="H861" s="84" t="n">
        <v>7.99</v>
      </c>
      <c r="I861" s="82" t="n">
        <v>17.1</v>
      </c>
      <c r="J861" s="83"/>
      <c r="K861" s="83"/>
      <c r="L861" s="82" t="n">
        <v>0.44</v>
      </c>
      <c r="M861" s="84" t="n">
        <v>7.98</v>
      </c>
      <c r="N861" s="82" t="n">
        <v>17.1</v>
      </c>
      <c r="O861" s="83"/>
      <c r="P861" s="83"/>
      <c r="Q861" s="84" t="n">
        <v>0.4</v>
      </c>
      <c r="R861" s="84" t="n">
        <v>7.97</v>
      </c>
      <c r="S861" s="82" t="n">
        <v>17</v>
      </c>
      <c r="T861" s="83"/>
      <c r="U861" s="83"/>
      <c r="V861" s="84" t="n">
        <v>0.03</v>
      </c>
      <c r="W861" s="84" t="n">
        <v>7.96</v>
      </c>
      <c r="X861" s="82" t="n">
        <v>17.1</v>
      </c>
      <c r="Y861" s="83"/>
      <c r="Z861" s="83"/>
      <c r="AA861" s="84" t="n">
        <v>0.11</v>
      </c>
      <c r="AB861" s="84" t="n">
        <v>7.95</v>
      </c>
      <c r="AC861" s="82" t="n">
        <v>17.2</v>
      </c>
      <c r="AD861" s="82" t="n">
        <v>56.1</v>
      </c>
      <c r="AE861" s="82" t="n">
        <v>39.27</v>
      </c>
      <c r="AF861" s="85"/>
      <c r="AG861" s="84" t="n">
        <v>0.06</v>
      </c>
      <c r="AH861" s="85"/>
      <c r="AI861" s="84" t="n">
        <v>7.94</v>
      </c>
      <c r="AJ861" s="82" t="n">
        <v>17.3</v>
      </c>
      <c r="AK861" s="82" t="n">
        <v>56</v>
      </c>
      <c r="AL861" s="82" t="n">
        <v>39.2</v>
      </c>
      <c r="AM861" s="85"/>
      <c r="AN861" s="84" t="n">
        <v>0.02</v>
      </c>
      <c r="AO861" s="84" t="n">
        <v>6.53</v>
      </c>
      <c r="AP861" s="82" t="n">
        <v>17.2</v>
      </c>
      <c r="AQ861" s="82" t="n">
        <v>289</v>
      </c>
      <c r="AR861" s="82" t="n">
        <v>158.95</v>
      </c>
      <c r="AS861" s="84" t="n">
        <v>0.01</v>
      </c>
      <c r="AT861" s="84" t="n">
        <v>7.59</v>
      </c>
      <c r="AU861" s="82" t="n">
        <v>17.8</v>
      </c>
      <c r="AV861" s="82" t="n">
        <v>489</v>
      </c>
      <c r="AW861" s="82" t="n">
        <v>268.95</v>
      </c>
      <c r="AX861" s="82" t="n">
        <v>1</v>
      </c>
      <c r="AY861" s="84" t="n">
        <v>0.37</v>
      </c>
    </row>
    <row r="862" customFormat="false" ht="16.15" hidden="false" customHeight="false" outlineLevel="0" collapsed="false">
      <c r="A862" s="80" t="n">
        <v>45717</v>
      </c>
      <c r="B862" s="2" t="s">
        <v>51</v>
      </c>
      <c r="C862" s="81" t="n">
        <v>8.05</v>
      </c>
      <c r="D862" s="82" t="n">
        <v>15.9</v>
      </c>
      <c r="E862" s="82" t="n">
        <v>56</v>
      </c>
      <c r="F862" s="82" t="n">
        <v>39.2</v>
      </c>
      <c r="G862" s="82" t="n">
        <v>1.53</v>
      </c>
      <c r="H862" s="82" t="n">
        <v>8</v>
      </c>
      <c r="I862" s="82" t="n">
        <v>16.2</v>
      </c>
      <c r="J862" s="83"/>
      <c r="K862" s="83"/>
      <c r="L862" s="82" t="n">
        <v>0.94</v>
      </c>
      <c r="M862" s="82" t="n">
        <v>8</v>
      </c>
      <c r="N862" s="82" t="n">
        <v>16.2</v>
      </c>
      <c r="O862" s="83"/>
      <c r="P862" s="83"/>
      <c r="Q862" s="82" t="n">
        <v>1.16</v>
      </c>
      <c r="R862" s="82" t="n">
        <v>8</v>
      </c>
      <c r="S862" s="82" t="n">
        <v>16.5</v>
      </c>
      <c r="T862" s="83"/>
      <c r="U862" s="83"/>
      <c r="V862" s="84" t="n">
        <v>0.28</v>
      </c>
      <c r="W862" s="82" t="n">
        <v>8</v>
      </c>
      <c r="X862" s="82" t="n">
        <v>16.4</v>
      </c>
      <c r="Y862" s="83"/>
      <c r="Z862" s="83"/>
      <c r="AA862" s="84" t="n">
        <v>0.25</v>
      </c>
      <c r="AB862" s="82" t="n">
        <v>7.98</v>
      </c>
      <c r="AC862" s="82" t="n">
        <v>16.5</v>
      </c>
      <c r="AD862" s="82" t="n">
        <v>56</v>
      </c>
      <c r="AE862" s="82" t="n">
        <v>39.2</v>
      </c>
      <c r="AF862" s="85"/>
      <c r="AG862" s="84" t="n">
        <v>0.1</v>
      </c>
      <c r="AH862" s="85"/>
      <c r="AI862" s="82" t="n">
        <v>7.96</v>
      </c>
      <c r="AJ862" s="82" t="n">
        <v>16.5</v>
      </c>
      <c r="AK862" s="82" t="n">
        <v>56</v>
      </c>
      <c r="AL862" s="82" t="n">
        <v>39.2</v>
      </c>
      <c r="AM862" s="85"/>
      <c r="AN862" s="84" t="n">
        <v>0.12</v>
      </c>
      <c r="AO862" s="82" t="n">
        <v>6.31</v>
      </c>
      <c r="AP862" s="82" t="n">
        <v>17</v>
      </c>
      <c r="AQ862" s="82" t="n">
        <v>296</v>
      </c>
      <c r="AR862" s="82" t="n">
        <v>162.8</v>
      </c>
      <c r="AS862" s="84" t="n">
        <v>0.06</v>
      </c>
      <c r="AT862" s="82" t="n">
        <v>7.5</v>
      </c>
      <c r="AU862" s="82" t="n">
        <v>17.3</v>
      </c>
      <c r="AV862" s="82" t="n">
        <v>451</v>
      </c>
      <c r="AW862" s="82" t="n">
        <v>248.05</v>
      </c>
      <c r="AX862" s="82" t="n">
        <v>1</v>
      </c>
      <c r="AY862" s="84" t="n">
        <v>0.26</v>
      </c>
    </row>
    <row r="863" customFormat="false" ht="16.15" hidden="false" customHeight="false" outlineLevel="0" collapsed="false">
      <c r="A863" s="80" t="n">
        <v>45717</v>
      </c>
      <c r="B863" s="2" t="s">
        <v>201</v>
      </c>
      <c r="C863" s="47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87" t="n">
        <v>7.8</v>
      </c>
      <c r="AU863" s="82" t="n">
        <v>17.7</v>
      </c>
      <c r="AV863" s="82" t="n">
        <v>414</v>
      </c>
      <c r="AW863" s="82" t="n">
        <v>227.7</v>
      </c>
      <c r="AX863" s="82" t="n">
        <v>1</v>
      </c>
      <c r="AY863" s="84" t="n">
        <v>0.35</v>
      </c>
    </row>
    <row r="864" customFormat="false" ht="16.15" hidden="false" customHeight="false" outlineLevel="0" collapsed="false">
      <c r="A864" s="80" t="n">
        <v>45748</v>
      </c>
      <c r="B864" s="2" t="s">
        <v>51</v>
      </c>
      <c r="C864" s="81" t="n">
        <v>8.08</v>
      </c>
      <c r="D864" s="82" t="n">
        <v>16</v>
      </c>
      <c r="E864" s="82" t="n">
        <v>56.1</v>
      </c>
      <c r="F864" s="82" t="n">
        <v>39.27</v>
      </c>
      <c r="G864" s="82" t="n">
        <v>0.93</v>
      </c>
      <c r="H864" s="82" t="n">
        <v>8</v>
      </c>
      <c r="I864" s="82" t="n">
        <v>16.5</v>
      </c>
      <c r="J864" s="83"/>
      <c r="K864" s="83"/>
      <c r="L864" s="82" t="n">
        <v>0.7</v>
      </c>
      <c r="M864" s="82" t="n">
        <v>8</v>
      </c>
      <c r="N864" s="82" t="n">
        <v>16.5</v>
      </c>
      <c r="O864" s="83"/>
      <c r="P864" s="83"/>
      <c r="Q864" s="82" t="n">
        <v>1.01</v>
      </c>
      <c r="R864" s="82" t="n">
        <v>8</v>
      </c>
      <c r="S864" s="82" t="n">
        <v>16.8</v>
      </c>
      <c r="T864" s="83"/>
      <c r="U864" s="83"/>
      <c r="V864" s="84" t="n">
        <v>0.09</v>
      </c>
      <c r="W864" s="82" t="n">
        <v>8</v>
      </c>
      <c r="X864" s="82" t="n">
        <v>16.8</v>
      </c>
      <c r="Y864" s="83"/>
      <c r="Z864" s="83"/>
      <c r="AA864" s="84" t="n">
        <v>0.08</v>
      </c>
      <c r="AB864" s="82" t="n">
        <v>7.98</v>
      </c>
      <c r="AC864" s="82" t="n">
        <v>16.6</v>
      </c>
      <c r="AD864" s="82" t="n">
        <v>56</v>
      </c>
      <c r="AE864" s="82" t="n">
        <v>39.2</v>
      </c>
      <c r="AF864" s="85"/>
      <c r="AG864" s="84" t="n">
        <v>0.06</v>
      </c>
      <c r="AH864" s="85"/>
      <c r="AI864" s="82" t="n">
        <v>7.96</v>
      </c>
      <c r="AJ864" s="82" t="n">
        <v>16.7</v>
      </c>
      <c r="AK864" s="82" t="n">
        <v>56</v>
      </c>
      <c r="AL864" s="82" t="n">
        <v>39.2</v>
      </c>
      <c r="AM864" s="85"/>
      <c r="AN864" s="84" t="n">
        <v>0.07</v>
      </c>
      <c r="AO864" s="82" t="n">
        <v>6.22</v>
      </c>
      <c r="AP864" s="82" t="n">
        <v>16.9</v>
      </c>
      <c r="AQ864" s="82" t="n">
        <v>349</v>
      </c>
      <c r="AR864" s="82" t="n">
        <v>191.95</v>
      </c>
      <c r="AS864" s="84" t="n">
        <v>0.06</v>
      </c>
      <c r="AT864" s="82" t="n">
        <v>8.48</v>
      </c>
      <c r="AU864" s="82" t="n">
        <v>17</v>
      </c>
      <c r="AV864" s="82" t="n">
        <v>403</v>
      </c>
      <c r="AW864" s="82" t="n">
        <v>221.65</v>
      </c>
      <c r="AX864" s="82" t="n">
        <v>1</v>
      </c>
      <c r="AY864" s="84" t="n">
        <v>0.23</v>
      </c>
    </row>
    <row r="865" customFormat="false" ht="16.15" hidden="false" customHeight="false" outlineLevel="0" collapsed="false">
      <c r="A865" s="80" t="n">
        <v>45748</v>
      </c>
      <c r="B865" s="2" t="s">
        <v>201</v>
      </c>
      <c r="C865" s="47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84" t="n">
        <v>8.38</v>
      </c>
      <c r="AU865" s="82" t="n">
        <v>17.5</v>
      </c>
      <c r="AV865" s="82" t="n">
        <v>423</v>
      </c>
      <c r="AW865" s="82" t="n">
        <v>232.65</v>
      </c>
      <c r="AX865" s="82" t="n">
        <v>1</v>
      </c>
      <c r="AY865" s="84" t="n">
        <v>0.19</v>
      </c>
    </row>
    <row r="866" customFormat="false" ht="16.15" hidden="false" customHeight="false" outlineLevel="0" collapsed="false">
      <c r="A866" s="80" t="n">
        <v>45778</v>
      </c>
      <c r="B866" s="2" t="s">
        <v>51</v>
      </c>
      <c r="C866" s="81" t="n">
        <v>8.07</v>
      </c>
      <c r="D866" s="82" t="n">
        <v>15.9</v>
      </c>
      <c r="E866" s="82" t="n">
        <v>56.6</v>
      </c>
      <c r="F866" s="82" t="n">
        <v>39.62</v>
      </c>
      <c r="G866" s="82" t="n">
        <v>0.72</v>
      </c>
      <c r="H866" s="82" t="n">
        <v>8.02</v>
      </c>
      <c r="I866" s="82" t="n">
        <v>16.6</v>
      </c>
      <c r="J866" s="83"/>
      <c r="K866" s="83"/>
      <c r="L866" s="82" t="n">
        <v>0.59</v>
      </c>
      <c r="M866" s="82" t="n">
        <v>8.02</v>
      </c>
      <c r="N866" s="82" t="n">
        <v>16.6</v>
      </c>
      <c r="O866" s="83"/>
      <c r="P866" s="83"/>
      <c r="Q866" s="82" t="n">
        <v>0.75</v>
      </c>
      <c r="R866" s="82" t="n">
        <v>8</v>
      </c>
      <c r="S866" s="82" t="n">
        <v>16.6</v>
      </c>
      <c r="T866" s="83"/>
      <c r="U866" s="83"/>
      <c r="V866" s="84" t="n">
        <v>0.05</v>
      </c>
      <c r="W866" s="82" t="n">
        <v>8</v>
      </c>
      <c r="X866" s="82" t="n">
        <v>16.6</v>
      </c>
      <c r="Y866" s="83"/>
      <c r="Z866" s="83"/>
      <c r="AA866" s="84" t="n">
        <v>0.03</v>
      </c>
      <c r="AB866" s="82" t="n">
        <v>7.99</v>
      </c>
      <c r="AC866" s="82" t="n">
        <v>16.7</v>
      </c>
      <c r="AD866" s="82" t="n">
        <v>56.5</v>
      </c>
      <c r="AE866" s="82" t="n">
        <v>39.55</v>
      </c>
      <c r="AF866" s="85"/>
      <c r="AG866" s="84" t="n">
        <v>0.02</v>
      </c>
      <c r="AH866" s="85"/>
      <c r="AI866" s="82" t="n">
        <v>7.99</v>
      </c>
      <c r="AJ866" s="82" t="n">
        <v>16.7</v>
      </c>
      <c r="AK866" s="82" t="n">
        <v>56.5</v>
      </c>
      <c r="AL866" s="82" t="n">
        <v>39.55</v>
      </c>
      <c r="AM866" s="85"/>
      <c r="AN866" s="84" t="n">
        <v>0.02</v>
      </c>
      <c r="AO866" s="82" t="n">
        <v>6.52</v>
      </c>
      <c r="AP866" s="82" t="n">
        <v>17</v>
      </c>
      <c r="AQ866" s="82" t="n">
        <v>269</v>
      </c>
      <c r="AR866" s="82" t="n">
        <v>147.95</v>
      </c>
      <c r="AS866" s="84" t="n">
        <v>0.01</v>
      </c>
      <c r="AT866" s="85"/>
      <c r="AU866" s="85"/>
      <c r="AV866" s="85"/>
      <c r="AW866" s="85"/>
      <c r="AX866" s="85"/>
      <c r="AY866" s="88"/>
    </row>
    <row r="867" customFormat="false" ht="16.15" hidden="false" customHeight="false" outlineLevel="0" collapsed="false">
      <c r="A867" s="80" t="n">
        <v>45778</v>
      </c>
      <c r="B867" s="2" t="s">
        <v>201</v>
      </c>
      <c r="C867" s="86" t="n">
        <v>8.01</v>
      </c>
      <c r="D867" s="82" t="n">
        <v>16.4</v>
      </c>
      <c r="E867" s="82" t="n">
        <v>56.2</v>
      </c>
      <c r="F867" s="82" t="n">
        <v>39.34</v>
      </c>
      <c r="G867" s="84" t="n">
        <v>0.52</v>
      </c>
      <c r="H867" s="84" t="n">
        <v>7.99</v>
      </c>
      <c r="I867" s="82" t="n">
        <v>16.4</v>
      </c>
      <c r="J867" s="83"/>
      <c r="K867" s="83"/>
      <c r="L867" s="82" t="n">
        <v>0.76</v>
      </c>
      <c r="M867" s="84" t="n">
        <v>8</v>
      </c>
      <c r="N867" s="82" t="n">
        <v>16.4</v>
      </c>
      <c r="O867" s="83"/>
      <c r="P867" s="83"/>
      <c r="Q867" s="82" t="n">
        <v>0.72</v>
      </c>
      <c r="R867" s="84" t="n">
        <v>7.99</v>
      </c>
      <c r="S867" s="82" t="n">
        <v>16.4</v>
      </c>
      <c r="T867" s="83"/>
      <c r="U867" s="83"/>
      <c r="V867" s="84" t="n">
        <v>0.13</v>
      </c>
      <c r="W867" s="84" t="n">
        <v>7.97</v>
      </c>
      <c r="X867" s="82" t="n">
        <v>16.6</v>
      </c>
      <c r="Y867" s="83"/>
      <c r="Z867" s="83"/>
      <c r="AA867" s="84" t="n">
        <v>0.14</v>
      </c>
      <c r="AB867" s="84" t="n">
        <v>7.97</v>
      </c>
      <c r="AC867" s="82" t="n">
        <v>16.6</v>
      </c>
      <c r="AD867" s="82" t="n">
        <v>56</v>
      </c>
      <c r="AE867" s="82" t="n">
        <v>39.2</v>
      </c>
      <c r="AF867" s="85"/>
      <c r="AG867" s="84" t="n">
        <v>0.06</v>
      </c>
      <c r="AH867" s="85"/>
      <c r="AI867" s="84" t="n">
        <v>7.95</v>
      </c>
      <c r="AJ867" s="82" t="n">
        <v>16.6</v>
      </c>
      <c r="AK867" s="82" t="n">
        <v>56</v>
      </c>
      <c r="AL867" s="82" t="n">
        <v>39.2</v>
      </c>
      <c r="AM867" s="85"/>
      <c r="AN867" s="84" t="n">
        <v>0.08</v>
      </c>
      <c r="AO867" s="84" t="n">
        <v>6.53</v>
      </c>
      <c r="AP867" s="82" t="n">
        <v>17.2</v>
      </c>
      <c r="AQ867" s="82" t="n">
        <v>289</v>
      </c>
      <c r="AR867" s="82" t="n">
        <v>158.95</v>
      </c>
      <c r="AS867" s="84" t="n">
        <v>0.01</v>
      </c>
      <c r="AT867" s="89" t="n">
        <v>8.29</v>
      </c>
      <c r="AU867" s="90" t="n">
        <v>18.2</v>
      </c>
      <c r="AV867" s="90" t="n">
        <v>406</v>
      </c>
      <c r="AW867" s="82" t="n">
        <v>223.3</v>
      </c>
      <c r="AX867" s="90" t="n">
        <v>1</v>
      </c>
      <c r="AY867" s="89" t="n">
        <v>0.24</v>
      </c>
    </row>
    <row r="868" customFormat="false" ht="16.15" hidden="false" customHeight="false" outlineLevel="0" collapsed="false">
      <c r="A868" s="80" t="n">
        <v>45778</v>
      </c>
      <c r="B868" s="2" t="s">
        <v>258</v>
      </c>
      <c r="C868" s="86" t="n">
        <v>7.99</v>
      </c>
      <c r="D868" s="82" t="n">
        <v>17.3</v>
      </c>
      <c r="E868" s="82" t="n">
        <v>56.2</v>
      </c>
      <c r="F868" s="82" t="n">
        <v>39.34</v>
      </c>
      <c r="G868" s="84" t="n">
        <v>0.78</v>
      </c>
      <c r="H868" s="84" t="n">
        <v>7.99</v>
      </c>
      <c r="I868" s="82" t="n">
        <v>17.1</v>
      </c>
      <c r="J868" s="83"/>
      <c r="K868" s="83"/>
      <c r="L868" s="82" t="n">
        <v>0.44</v>
      </c>
      <c r="M868" s="84" t="n">
        <v>7.98</v>
      </c>
      <c r="N868" s="82" t="n">
        <v>17.1</v>
      </c>
      <c r="O868" s="83"/>
      <c r="P868" s="83"/>
      <c r="Q868" s="84" t="n">
        <v>0.4</v>
      </c>
      <c r="R868" s="84" t="n">
        <v>7.97</v>
      </c>
      <c r="S868" s="82" t="n">
        <v>17</v>
      </c>
      <c r="T868" s="83"/>
      <c r="U868" s="83"/>
      <c r="V868" s="84" t="n">
        <v>0.03</v>
      </c>
      <c r="W868" s="84" t="n">
        <v>7.96</v>
      </c>
      <c r="X868" s="82" t="n">
        <v>17.1</v>
      </c>
      <c r="Y868" s="83"/>
      <c r="Z868" s="83"/>
      <c r="AA868" s="84" t="n">
        <v>0.11</v>
      </c>
      <c r="AB868" s="84" t="n">
        <v>7.95</v>
      </c>
      <c r="AC868" s="82" t="n">
        <v>17.2</v>
      </c>
      <c r="AD868" s="82" t="n">
        <v>56.1</v>
      </c>
      <c r="AE868" s="82" t="n">
        <v>39.27</v>
      </c>
      <c r="AF868" s="85"/>
      <c r="AG868" s="84" t="n">
        <v>0.06</v>
      </c>
      <c r="AH868" s="85"/>
      <c r="AI868" s="84" t="n">
        <v>7.94</v>
      </c>
      <c r="AJ868" s="82" t="n">
        <v>17.3</v>
      </c>
      <c r="AK868" s="82" t="n">
        <v>56</v>
      </c>
      <c r="AL868" s="82" t="n">
        <v>39.2</v>
      </c>
      <c r="AM868" s="85"/>
      <c r="AN868" s="84" t="n">
        <v>0.02</v>
      </c>
      <c r="AO868" s="84" t="n">
        <v>6.48</v>
      </c>
      <c r="AP868" s="82" t="n">
        <v>17.5</v>
      </c>
      <c r="AQ868" s="82" t="n">
        <v>426</v>
      </c>
      <c r="AR868" s="82" t="n">
        <v>234.3</v>
      </c>
      <c r="AS868" s="84" t="n">
        <v>0.01</v>
      </c>
      <c r="AT868" s="88"/>
      <c r="AU868" s="85"/>
      <c r="AV868" s="85"/>
      <c r="AW868" s="85"/>
      <c r="AX868" s="85"/>
      <c r="AY868" s="88"/>
    </row>
    <row r="869" customFormat="false" ht="16.15" hidden="false" customHeight="false" outlineLevel="0" collapsed="false">
      <c r="A869" s="80" t="n">
        <v>45809</v>
      </c>
      <c r="B869" s="2" t="s">
        <v>51</v>
      </c>
      <c r="C869" s="81" t="n">
        <v>8</v>
      </c>
      <c r="D869" s="82" t="n">
        <v>16</v>
      </c>
      <c r="E869" s="82" t="n">
        <v>56</v>
      </c>
      <c r="F869" s="82" t="n">
        <v>39.2</v>
      </c>
      <c r="G869" s="82" t="n">
        <v>0.7</v>
      </c>
      <c r="H869" s="82" t="n">
        <v>7.97</v>
      </c>
      <c r="I869" s="82" t="n">
        <v>16.7</v>
      </c>
      <c r="J869" s="83"/>
      <c r="K869" s="83"/>
      <c r="L869" s="82" t="n">
        <v>0.62</v>
      </c>
      <c r="M869" s="82" t="n">
        <v>7.96</v>
      </c>
      <c r="N869" s="82" t="n">
        <v>16.7</v>
      </c>
      <c r="O869" s="83"/>
      <c r="P869" s="83"/>
      <c r="Q869" s="82" t="n">
        <v>0.89</v>
      </c>
      <c r="R869" s="82" t="n">
        <v>7.94</v>
      </c>
      <c r="S869" s="82" t="n">
        <v>16.7</v>
      </c>
      <c r="T869" s="83"/>
      <c r="U869" s="83"/>
      <c r="V869" s="84" t="n">
        <v>0.12</v>
      </c>
      <c r="W869" s="82" t="n">
        <v>7.93</v>
      </c>
      <c r="X869" s="82" t="n">
        <v>16.7</v>
      </c>
      <c r="Y869" s="83"/>
      <c r="Z869" s="83"/>
      <c r="AA869" s="84" t="n">
        <v>0.14</v>
      </c>
      <c r="AB869" s="82" t="n">
        <v>7.93</v>
      </c>
      <c r="AC869" s="82" t="n">
        <v>16.7</v>
      </c>
      <c r="AD869" s="82" t="n">
        <v>56</v>
      </c>
      <c r="AE869" s="82" t="n">
        <v>39.2</v>
      </c>
      <c r="AF869" s="85"/>
      <c r="AG869" s="84" t="n">
        <v>0.07</v>
      </c>
      <c r="AH869" s="85"/>
      <c r="AI869" s="82" t="n">
        <v>7.93</v>
      </c>
      <c r="AJ869" s="82" t="n">
        <v>16.7</v>
      </c>
      <c r="AK869" s="82" t="n">
        <v>56</v>
      </c>
      <c r="AL869" s="82" t="n">
        <v>39.2</v>
      </c>
      <c r="AM869" s="85"/>
      <c r="AN869" s="84" t="n">
        <v>0.1</v>
      </c>
      <c r="AO869" s="82" t="n">
        <v>6.32</v>
      </c>
      <c r="AP869" s="82" t="n">
        <v>16.9</v>
      </c>
      <c r="AQ869" s="82" t="n">
        <v>280</v>
      </c>
      <c r="AR869" s="82" t="n">
        <v>154</v>
      </c>
      <c r="AS869" s="84" t="n">
        <v>0.09</v>
      </c>
      <c r="AT869" s="90" t="n">
        <v>8.27</v>
      </c>
      <c r="AU869" s="90" t="n">
        <v>18.5</v>
      </c>
      <c r="AV869" s="90" t="n">
        <v>402</v>
      </c>
      <c r="AW869" s="82" t="n">
        <v>221.1</v>
      </c>
      <c r="AX869" s="90" t="n">
        <v>1</v>
      </c>
      <c r="AY869" s="89" t="n">
        <v>0.09</v>
      </c>
    </row>
    <row r="870" customFormat="false" ht="16.15" hidden="false" customHeight="false" outlineLevel="0" collapsed="false">
      <c r="A870" s="80" t="n">
        <v>45809</v>
      </c>
      <c r="B870" s="2" t="s">
        <v>201</v>
      </c>
      <c r="C870" s="86" t="n">
        <v>8.04</v>
      </c>
      <c r="D870" s="82" t="n">
        <v>16.1</v>
      </c>
      <c r="E870" s="82" t="n">
        <v>56</v>
      </c>
      <c r="F870" s="82" t="n">
        <v>39.2</v>
      </c>
      <c r="G870" s="84" t="n">
        <v>0.74</v>
      </c>
      <c r="H870" s="84" t="n">
        <v>8.03</v>
      </c>
      <c r="I870" s="82" t="n">
        <v>16.4</v>
      </c>
      <c r="J870" s="83"/>
      <c r="K870" s="83"/>
      <c r="L870" s="82" t="n">
        <v>1.02</v>
      </c>
      <c r="M870" s="88"/>
      <c r="N870" s="85"/>
      <c r="O870" s="91"/>
      <c r="P870" s="91"/>
      <c r="Q870" s="85"/>
      <c r="R870" s="84" t="n">
        <v>8.01</v>
      </c>
      <c r="S870" s="82" t="n">
        <v>16.4</v>
      </c>
      <c r="T870" s="83"/>
      <c r="U870" s="83"/>
      <c r="V870" s="84" t="n">
        <v>0.06</v>
      </c>
      <c r="W870" s="88"/>
      <c r="X870" s="85"/>
      <c r="Y870" s="91"/>
      <c r="Z870" s="91"/>
      <c r="AA870" s="88"/>
      <c r="AB870" s="84" t="n">
        <v>8</v>
      </c>
      <c r="AC870" s="82" t="n">
        <v>16.5</v>
      </c>
      <c r="AD870" s="82" t="n">
        <v>56</v>
      </c>
      <c r="AE870" s="82" t="n">
        <v>39.2</v>
      </c>
      <c r="AF870" s="85"/>
      <c r="AG870" s="84" t="n">
        <v>0.01</v>
      </c>
      <c r="AH870" s="85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</row>
    <row r="871" customFormat="false" ht="16.15" hidden="false" customHeight="false" outlineLevel="0" collapsed="false">
      <c r="A871" s="80" t="n">
        <v>45809</v>
      </c>
      <c r="B871" s="2" t="s">
        <v>258</v>
      </c>
      <c r="C871" s="86" t="n">
        <v>8.04</v>
      </c>
      <c r="D871" s="82" t="n">
        <v>16.8</v>
      </c>
      <c r="E871" s="82" t="n">
        <v>56</v>
      </c>
      <c r="F871" s="82" t="n">
        <v>39.2</v>
      </c>
      <c r="G871" s="84" t="n">
        <v>0.72</v>
      </c>
      <c r="H871" s="84" t="n">
        <v>8.03</v>
      </c>
      <c r="I871" s="82" t="n">
        <v>17.5</v>
      </c>
      <c r="J871" s="83"/>
      <c r="K871" s="83"/>
      <c r="L871" s="82" t="n">
        <v>0.92</v>
      </c>
      <c r="M871" s="88"/>
      <c r="N871" s="85"/>
      <c r="O871" s="91"/>
      <c r="P871" s="91"/>
      <c r="Q871" s="88"/>
      <c r="R871" s="84" t="n">
        <v>8.02</v>
      </c>
      <c r="S871" s="82" t="n">
        <v>17.6</v>
      </c>
      <c r="T871" s="83"/>
      <c r="U871" s="83"/>
      <c r="V871" s="84" t="n">
        <v>0.03</v>
      </c>
      <c r="W871" s="88"/>
      <c r="X871" s="85"/>
      <c r="Y871" s="91"/>
      <c r="Z871" s="91"/>
      <c r="AA871" s="88"/>
      <c r="AB871" s="84" t="n">
        <v>8.01</v>
      </c>
      <c r="AC871" s="82" t="n">
        <v>17.7</v>
      </c>
      <c r="AD871" s="82" t="n">
        <v>56</v>
      </c>
      <c r="AE871" s="82" t="n">
        <v>39.2</v>
      </c>
      <c r="AF871" s="85"/>
      <c r="AG871" s="84" t="n">
        <v>0.01</v>
      </c>
      <c r="AH871" s="85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</row>
    <row r="872" customFormat="false" ht="16.15" hidden="false" customHeight="false" outlineLevel="0" collapsed="false">
      <c r="A872" s="80" t="n">
        <v>45839</v>
      </c>
      <c r="B872" s="2" t="s">
        <v>51</v>
      </c>
      <c r="C872" s="81" t="n">
        <v>8.08</v>
      </c>
      <c r="D872" s="82" t="n">
        <v>17.3</v>
      </c>
      <c r="E872" s="82" t="n">
        <v>56</v>
      </c>
      <c r="F872" s="82" t="n">
        <v>39.2</v>
      </c>
      <c r="G872" s="82" t="n">
        <v>0.69</v>
      </c>
      <c r="H872" s="82" t="n">
        <v>8.02</v>
      </c>
      <c r="I872" s="82" t="n">
        <v>16.5</v>
      </c>
      <c r="J872" s="83"/>
      <c r="K872" s="83"/>
      <c r="L872" s="82" t="n">
        <v>0.49</v>
      </c>
      <c r="M872" s="88"/>
      <c r="N872" s="85"/>
      <c r="O872" s="91"/>
      <c r="P872" s="91"/>
      <c r="Q872" s="88"/>
      <c r="R872" s="82" t="n">
        <v>8</v>
      </c>
      <c r="S872" s="82" t="n">
        <v>16.6</v>
      </c>
      <c r="T872" s="83"/>
      <c r="U872" s="83"/>
      <c r="V872" s="84" t="n">
        <v>0.19</v>
      </c>
      <c r="W872" s="88"/>
      <c r="X872" s="85"/>
      <c r="Y872" s="91"/>
      <c r="Z872" s="91"/>
      <c r="AA872" s="88"/>
      <c r="AB872" s="82" t="n">
        <v>8</v>
      </c>
      <c r="AC872" s="82" t="n">
        <v>16.5</v>
      </c>
      <c r="AD872" s="82" t="n">
        <v>56</v>
      </c>
      <c r="AE872" s="82" t="n">
        <v>39.2</v>
      </c>
      <c r="AF872" s="85"/>
      <c r="AG872" s="84" t="n">
        <v>0.12</v>
      </c>
      <c r="AH872" s="85"/>
      <c r="AI872" s="88"/>
      <c r="AJ872" s="85"/>
      <c r="AK872" s="91"/>
      <c r="AL872" s="91"/>
      <c r="AM872" s="91"/>
      <c r="AN872" s="88"/>
      <c r="AO872" s="82" t="n">
        <v>6.31</v>
      </c>
      <c r="AP872" s="82" t="n">
        <v>17.9</v>
      </c>
      <c r="AQ872" s="82" t="n">
        <v>279</v>
      </c>
      <c r="AR872" s="82" t="n">
        <v>153.45</v>
      </c>
      <c r="AS872" s="84" t="n">
        <v>0.15</v>
      </c>
      <c r="AT872" s="90" t="n">
        <v>7.87</v>
      </c>
      <c r="AU872" s="90" t="n">
        <v>18.6</v>
      </c>
      <c r="AV872" s="90" t="n">
        <v>692</v>
      </c>
      <c r="AW872" s="90" t="n">
        <v>380.6</v>
      </c>
      <c r="AX872" s="90" t="n">
        <v>1</v>
      </c>
      <c r="AY872" s="89" t="n">
        <v>0.39</v>
      </c>
    </row>
    <row r="873" customFormat="false" ht="16.15" hidden="false" customHeight="false" outlineLevel="0" collapsed="false">
      <c r="A873" s="80" t="n">
        <v>45839</v>
      </c>
      <c r="B873" s="2" t="s">
        <v>201</v>
      </c>
      <c r="C873" s="86" t="n">
        <v>8.04</v>
      </c>
      <c r="D873" s="82" t="n">
        <v>17.2</v>
      </c>
      <c r="E873" s="82" t="n">
        <v>56</v>
      </c>
      <c r="F873" s="82" t="n">
        <v>39.2</v>
      </c>
      <c r="G873" s="84" t="n">
        <v>0.72</v>
      </c>
      <c r="H873" s="84" t="n">
        <v>8.02</v>
      </c>
      <c r="I873" s="82" t="n">
        <v>16.8</v>
      </c>
      <c r="J873" s="83"/>
      <c r="K873" s="83"/>
      <c r="L873" s="82" t="n">
        <v>0.65</v>
      </c>
      <c r="M873" s="88"/>
      <c r="N873" s="85"/>
      <c r="O873" s="91"/>
      <c r="P873" s="91"/>
      <c r="Q873" s="88"/>
      <c r="R873" s="84"/>
      <c r="S873" s="82" t="n">
        <v>16.8</v>
      </c>
      <c r="T873" s="83"/>
      <c r="U873" s="83"/>
      <c r="V873" s="84" t="n">
        <v>0.08</v>
      </c>
      <c r="W873" s="88"/>
      <c r="X873" s="85"/>
      <c r="Y873" s="91"/>
      <c r="Z873" s="91"/>
      <c r="AA873" s="88"/>
      <c r="AB873" s="21"/>
      <c r="AC873" s="82" t="n">
        <v>16.8</v>
      </c>
      <c r="AD873" s="82" t="n">
        <v>56</v>
      </c>
      <c r="AE873" s="82" t="n">
        <v>39.2</v>
      </c>
      <c r="AF873" s="85"/>
      <c r="AG873" s="84" t="n">
        <v>0.11</v>
      </c>
      <c r="AH873" s="85"/>
      <c r="AI873" s="88"/>
      <c r="AJ873" s="85"/>
      <c r="AK873" s="91"/>
      <c r="AL873" s="91"/>
      <c r="AM873" s="91"/>
      <c r="AN873" s="88"/>
      <c r="AO873" s="88"/>
      <c r="AP873" s="85"/>
      <c r="AQ873" s="85"/>
      <c r="AR873" s="85"/>
      <c r="AS873" s="88"/>
      <c r="AT873" s="89" t="n">
        <v>7.97</v>
      </c>
      <c r="AU873" s="90" t="n">
        <v>18.7</v>
      </c>
      <c r="AV873" s="90" t="n">
        <v>531</v>
      </c>
      <c r="AW873" s="90" t="n">
        <v>292.05</v>
      </c>
      <c r="AX873" s="90" t="n">
        <v>1</v>
      </c>
      <c r="AY873" s="89" t="n">
        <v>0.11</v>
      </c>
    </row>
    <row r="874" customFormat="false" ht="16.15" hidden="false" customHeight="false" outlineLevel="0" collapsed="false">
      <c r="A874" s="80" t="n">
        <v>45839</v>
      </c>
      <c r="B874" s="2" t="s">
        <v>258</v>
      </c>
      <c r="C874" s="86" t="n">
        <v>8.04</v>
      </c>
      <c r="D874" s="82" t="n">
        <v>16.9</v>
      </c>
      <c r="E874" s="82" t="n">
        <v>56</v>
      </c>
      <c r="F874" s="82" t="n">
        <v>39.2</v>
      </c>
      <c r="G874" s="84" t="n">
        <v>0.66</v>
      </c>
      <c r="H874" s="84" t="n">
        <v>8.03</v>
      </c>
      <c r="I874" s="82" t="n">
        <v>17.6</v>
      </c>
      <c r="J874" s="83"/>
      <c r="K874" s="83"/>
      <c r="L874" s="82" t="n">
        <v>0.52</v>
      </c>
      <c r="M874" s="88"/>
      <c r="N874" s="85"/>
      <c r="O874" s="91"/>
      <c r="P874" s="91" t="s">
        <v>75</v>
      </c>
      <c r="Q874" s="88"/>
      <c r="R874" s="84" t="n">
        <v>8.02</v>
      </c>
      <c r="S874" s="82" t="n">
        <v>17.6</v>
      </c>
      <c r="T874" s="83"/>
      <c r="U874" s="83"/>
      <c r="V874" s="84" t="n">
        <v>0.08</v>
      </c>
      <c r="W874" s="88"/>
      <c r="X874" s="85"/>
      <c r="Y874" s="91"/>
      <c r="Z874" s="91"/>
      <c r="AA874" s="88"/>
      <c r="AB874" s="84" t="n">
        <v>8.01</v>
      </c>
      <c r="AC874" s="82" t="n">
        <v>17.7</v>
      </c>
      <c r="AD874" s="82" t="n">
        <v>56</v>
      </c>
      <c r="AE874" s="82" t="n">
        <v>39.2</v>
      </c>
      <c r="AF874" s="85"/>
      <c r="AG874" s="84" t="n">
        <v>0.02</v>
      </c>
      <c r="AH874" s="85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</row>
    <row r="875" customFormat="false" ht="16.15" hidden="false" customHeight="false" outlineLevel="0" collapsed="false">
      <c r="A875" s="80" t="n">
        <v>45870</v>
      </c>
      <c r="B875" s="2" t="s">
        <v>51</v>
      </c>
      <c r="C875" s="81" t="n">
        <v>8.02</v>
      </c>
      <c r="D875" s="82" t="n">
        <v>16.9</v>
      </c>
      <c r="E875" s="82" t="n">
        <v>55.9</v>
      </c>
      <c r="F875" s="82" t="n">
        <v>39.13</v>
      </c>
      <c r="G875" s="82" t="n">
        <v>0.88</v>
      </c>
      <c r="H875" s="82" t="n">
        <v>8.02</v>
      </c>
      <c r="I875" s="82" t="n">
        <v>16.6</v>
      </c>
      <c r="J875" s="83"/>
      <c r="K875" s="83"/>
      <c r="L875" s="82" t="n">
        <v>0.64</v>
      </c>
      <c r="M875" s="88"/>
      <c r="N875" s="85"/>
      <c r="O875" s="85"/>
      <c r="P875" s="85"/>
      <c r="Q875" s="88"/>
      <c r="R875" s="82" t="n">
        <v>7.99</v>
      </c>
      <c r="S875" s="82" t="n">
        <v>16.8</v>
      </c>
      <c r="T875" s="83"/>
      <c r="U875" s="83"/>
      <c r="V875" s="84" t="n">
        <v>0.24</v>
      </c>
      <c r="W875" s="88"/>
      <c r="X875" s="85"/>
      <c r="Y875" s="85"/>
      <c r="Z875" s="85"/>
      <c r="AA875" s="88"/>
      <c r="AB875" s="82" t="n">
        <v>8.01</v>
      </c>
      <c r="AC875" s="82" t="n">
        <v>17.6</v>
      </c>
      <c r="AD875" s="82" t="n">
        <v>55.9</v>
      </c>
      <c r="AE875" s="82" t="n">
        <v>39.13</v>
      </c>
      <c r="AF875" s="85"/>
      <c r="AG875" s="84" t="n">
        <v>0.35</v>
      </c>
      <c r="AH875" s="85"/>
      <c r="AI875" s="48"/>
      <c r="AJ875" s="48"/>
      <c r="AK875" s="48"/>
      <c r="AL875" s="48"/>
      <c r="AM875" s="48"/>
      <c r="AN875" s="48"/>
      <c r="AO875" s="82" t="n">
        <v>6.21</v>
      </c>
      <c r="AP875" s="82" t="n">
        <v>17.7</v>
      </c>
      <c r="AQ875" s="82" t="n">
        <v>274</v>
      </c>
      <c r="AR875" s="82" t="n">
        <v>150.7</v>
      </c>
      <c r="AS875" s="84" t="n">
        <v>0.17</v>
      </c>
      <c r="AT875" s="90" t="n">
        <v>8.08</v>
      </c>
      <c r="AU875" s="90" t="n">
        <v>18.4</v>
      </c>
      <c r="AV875" s="90" t="n">
        <v>466</v>
      </c>
      <c r="AW875" s="90" t="n">
        <v>256.3</v>
      </c>
      <c r="AX875" s="90" t="n">
        <v>1</v>
      </c>
      <c r="AY875" s="89" t="n">
        <v>0.38</v>
      </c>
    </row>
    <row r="876" customFormat="false" ht="16.15" hidden="false" customHeight="false" outlineLevel="0" collapsed="false">
      <c r="A876" s="80" t="n">
        <v>45870</v>
      </c>
      <c r="B876" s="2" t="s">
        <v>201</v>
      </c>
      <c r="C876" s="86" t="n">
        <v>8.06</v>
      </c>
      <c r="D876" s="82" t="n">
        <v>17</v>
      </c>
      <c r="E876" s="82" t="n">
        <v>55.9</v>
      </c>
      <c r="F876" s="82" t="n">
        <v>39.13</v>
      </c>
      <c r="G876" s="84" t="n">
        <v>0.91</v>
      </c>
      <c r="H876" s="88"/>
      <c r="I876" s="85"/>
      <c r="J876" s="85"/>
      <c r="K876" s="85"/>
      <c r="L876" s="85"/>
      <c r="M876" s="89" t="n">
        <v>8.05</v>
      </c>
      <c r="N876" s="90" t="n">
        <v>16.9</v>
      </c>
      <c r="O876" s="92"/>
      <c r="P876" s="92"/>
      <c r="Q876" s="90" t="n">
        <v>0.88</v>
      </c>
      <c r="R876" s="88"/>
      <c r="S876" s="85"/>
      <c r="T876" s="85"/>
      <c r="U876" s="85"/>
      <c r="V876" s="88"/>
      <c r="W876" s="89" t="n">
        <v>8.02</v>
      </c>
      <c r="X876" s="90" t="n">
        <v>16.7</v>
      </c>
      <c r="Y876" s="92"/>
      <c r="Z876" s="92"/>
      <c r="AA876" s="89" t="n">
        <v>0.37</v>
      </c>
      <c r="AB876" s="88"/>
      <c r="AC876" s="85"/>
      <c r="AD876" s="85"/>
      <c r="AE876" s="85"/>
      <c r="AF876" s="85"/>
      <c r="AG876" s="88"/>
      <c r="AH876" s="85"/>
      <c r="AI876" s="89" t="n">
        <v>8.02</v>
      </c>
      <c r="AJ876" s="90" t="n">
        <v>17.7</v>
      </c>
      <c r="AK876" s="90" t="n">
        <v>55.8</v>
      </c>
      <c r="AL876" s="82" t="n">
        <v>39.06</v>
      </c>
      <c r="AM876" s="85"/>
      <c r="AN876" s="89" t="n">
        <v>0.12</v>
      </c>
      <c r="AO876" s="89" t="n">
        <v>6.4</v>
      </c>
      <c r="AP876" s="90" t="n">
        <v>17.7</v>
      </c>
      <c r="AQ876" s="90" t="n">
        <v>302</v>
      </c>
      <c r="AR876" s="90" t="n">
        <v>166.1</v>
      </c>
      <c r="AS876" s="89" t="n">
        <v>0.31</v>
      </c>
      <c r="AT876" s="48"/>
      <c r="AU876" s="48"/>
      <c r="AV876" s="48"/>
      <c r="AW876" s="48"/>
      <c r="AX876" s="48"/>
      <c r="AY876" s="48"/>
    </row>
    <row r="877" customFormat="false" ht="16.15" hidden="false" customHeight="false" outlineLevel="0" collapsed="false">
      <c r="A877" s="80" t="n">
        <v>45870</v>
      </c>
      <c r="B877" s="2" t="s">
        <v>258</v>
      </c>
      <c r="C877" s="86" t="n">
        <v>8</v>
      </c>
      <c r="D877" s="82" t="n">
        <v>17.3</v>
      </c>
      <c r="E877" s="82" t="n">
        <v>55.9</v>
      </c>
      <c r="F877" s="82" t="n">
        <v>39.13</v>
      </c>
      <c r="G877" s="84" t="n">
        <v>0.76</v>
      </c>
      <c r="H877" s="88"/>
      <c r="I877" s="85" t="n">
        <v>17.2</v>
      </c>
      <c r="J877" s="91"/>
      <c r="K877" s="91"/>
      <c r="L877" s="85"/>
      <c r="M877" s="89" t="n">
        <v>7.99</v>
      </c>
      <c r="N877" s="90" t="n">
        <v>17.2</v>
      </c>
      <c r="O877" s="92"/>
      <c r="P877" s="92"/>
      <c r="Q877" s="90" t="n">
        <v>0.44</v>
      </c>
      <c r="R877" s="48"/>
      <c r="S877" s="48"/>
      <c r="T877" s="48"/>
      <c r="U877" s="48"/>
      <c r="V877" s="48"/>
      <c r="W877" s="89" t="n">
        <v>7.98</v>
      </c>
      <c r="X877" s="90" t="n">
        <v>17.1</v>
      </c>
      <c r="Y877" s="92"/>
      <c r="Z877" s="92"/>
      <c r="AA877" s="89" t="n">
        <v>0.14</v>
      </c>
      <c r="AB877" s="48"/>
      <c r="AC877" s="48"/>
      <c r="AD877" s="48"/>
      <c r="AE877" s="48"/>
      <c r="AF877" s="48"/>
      <c r="AG877" s="48"/>
      <c r="AH877" s="48"/>
      <c r="AI877" s="89" t="n">
        <v>7.98</v>
      </c>
      <c r="AJ877" s="90" t="n">
        <v>17.8</v>
      </c>
      <c r="AK877" s="90" t="n">
        <v>55.9</v>
      </c>
      <c r="AL877" s="82" t="n">
        <v>39.13</v>
      </c>
      <c r="AM877" s="85"/>
      <c r="AN877" s="89" t="n">
        <v>0.09</v>
      </c>
      <c r="AO877" s="21"/>
      <c r="AP877" s="21"/>
      <c r="AQ877" s="21"/>
      <c r="AR877" s="21"/>
      <c r="AS877" s="21"/>
      <c r="AT877" s="48"/>
      <c r="AU877" s="48"/>
      <c r="AV877" s="48"/>
      <c r="AW877" s="48"/>
      <c r="AX877" s="48"/>
      <c r="AY877" s="48"/>
    </row>
    <row r="878" customFormat="false" ht="16.15" hidden="false" customHeight="false" outlineLevel="0" collapsed="false">
      <c r="A878" s="80" t="n">
        <v>45901</v>
      </c>
      <c r="B878" s="2" t="s">
        <v>51</v>
      </c>
      <c r="C878" s="81" t="n">
        <v>8.02</v>
      </c>
      <c r="D878" s="82" t="n">
        <v>17</v>
      </c>
      <c r="E878" s="82" t="n">
        <v>55.9</v>
      </c>
      <c r="F878" s="82" t="n">
        <v>39.13</v>
      </c>
      <c r="G878" s="82" t="n">
        <v>0.72</v>
      </c>
      <c r="H878" s="82" t="n">
        <v>8.02</v>
      </c>
      <c r="I878" s="82" t="n">
        <v>16.8</v>
      </c>
      <c r="J878" s="83"/>
      <c r="K878" s="83"/>
      <c r="L878" s="82" t="n">
        <v>0.58</v>
      </c>
      <c r="M878" s="85"/>
      <c r="N878" s="85"/>
      <c r="O878" s="91"/>
      <c r="P878" s="91"/>
      <c r="Q878" s="85"/>
      <c r="R878" s="82" t="n">
        <v>7.99</v>
      </c>
      <c r="S878" s="82" t="n">
        <v>16.8</v>
      </c>
      <c r="T878" s="83"/>
      <c r="U878" s="83"/>
      <c r="V878" s="84" t="n">
        <v>0.18</v>
      </c>
      <c r="W878" s="85"/>
      <c r="X878" s="85"/>
      <c r="Y878" s="91"/>
      <c r="Z878" s="91"/>
      <c r="AA878" s="88"/>
      <c r="AB878" s="82" t="n">
        <v>8.01</v>
      </c>
      <c r="AC878" s="82" t="n">
        <v>17.6</v>
      </c>
      <c r="AD878" s="82" t="n">
        <v>55.9</v>
      </c>
      <c r="AE878" s="82" t="n">
        <v>39.13</v>
      </c>
      <c r="AF878" s="85"/>
      <c r="AG878" s="84" t="n">
        <v>0.1</v>
      </c>
      <c r="AH878" s="85"/>
      <c r="AI878" s="85"/>
      <c r="AJ878" s="85"/>
      <c r="AK878" s="85"/>
      <c r="AL878" s="85"/>
      <c r="AM878" s="85"/>
      <c r="AN878" s="88"/>
      <c r="AO878" s="85"/>
      <c r="AP878" s="85"/>
      <c r="AQ878" s="85"/>
      <c r="AR878" s="85"/>
      <c r="AS878" s="88"/>
      <c r="AT878" s="90" t="n">
        <v>8.23</v>
      </c>
      <c r="AU878" s="90" t="n">
        <v>18.3</v>
      </c>
      <c r="AV878" s="90" t="n">
        <v>456</v>
      </c>
      <c r="AW878" s="90" t="n">
        <v>250.8</v>
      </c>
      <c r="AX878" s="90" t="n">
        <v>1</v>
      </c>
      <c r="AY878" s="89" t="n">
        <v>0.51</v>
      </c>
    </row>
    <row r="879" customFormat="false" ht="16.15" hidden="false" customHeight="false" outlineLevel="0" collapsed="false">
      <c r="A879" s="80" t="n">
        <v>45901</v>
      </c>
      <c r="B879" s="2" t="s">
        <v>201</v>
      </c>
      <c r="C879" s="86" t="n">
        <v>8.04</v>
      </c>
      <c r="D879" s="82" t="n">
        <v>17</v>
      </c>
      <c r="E879" s="82" t="n">
        <v>55.9</v>
      </c>
      <c r="F879" s="82" t="n">
        <v>39.13</v>
      </c>
      <c r="G879" s="84" t="n">
        <v>0.67</v>
      </c>
      <c r="H879" s="89" t="n">
        <v>8</v>
      </c>
      <c r="I879" s="90" t="n">
        <v>16.7</v>
      </c>
      <c r="J879" s="92"/>
      <c r="K879" s="92"/>
      <c r="L879" s="90" t="n">
        <v>0.22</v>
      </c>
      <c r="M879" s="48"/>
      <c r="N879" s="48"/>
      <c r="O879" s="48"/>
      <c r="P879" s="48"/>
      <c r="Q879" s="48"/>
      <c r="R879" s="82" t="n">
        <v>8</v>
      </c>
      <c r="S879" s="82" t="n">
        <v>16.8</v>
      </c>
      <c r="T879" s="92"/>
      <c r="U879" s="92"/>
      <c r="V879" s="84" t="n">
        <v>0.09</v>
      </c>
      <c r="W879" s="48"/>
      <c r="X879" s="48"/>
      <c r="Y879" s="48"/>
      <c r="Z879" s="48"/>
      <c r="AA879" s="48"/>
      <c r="AB879" s="82" t="n">
        <v>8</v>
      </c>
      <c r="AC879" s="82" t="n">
        <v>17.6</v>
      </c>
      <c r="AD879" s="90"/>
      <c r="AE879" s="90"/>
      <c r="AF879" s="85"/>
      <c r="AG879" s="84" t="n">
        <v>0.08</v>
      </c>
      <c r="AH879" s="85"/>
      <c r="AI879" s="48"/>
      <c r="AJ879" s="48"/>
      <c r="AK879" s="48"/>
      <c r="AL879" s="48"/>
      <c r="AM879" s="48"/>
      <c r="AN879" s="48"/>
      <c r="AO879" s="89" t="n">
        <v>6.53</v>
      </c>
      <c r="AP879" s="90" t="n">
        <v>17.6</v>
      </c>
      <c r="AQ879" s="90" t="n">
        <v>290</v>
      </c>
      <c r="AR879" s="90" t="n">
        <v>159.5</v>
      </c>
      <c r="AS879" s="89" t="n">
        <v>0.08</v>
      </c>
      <c r="AT879" s="48"/>
      <c r="AU879" s="48"/>
      <c r="AV879" s="48"/>
      <c r="AW879" s="48"/>
      <c r="AX879" s="48"/>
      <c r="AY879" s="48"/>
    </row>
    <row r="880" customFormat="false" ht="16.15" hidden="false" customHeight="false" outlineLevel="0" collapsed="false">
      <c r="A880" s="80" t="n">
        <v>45536</v>
      </c>
      <c r="B880" s="2" t="s">
        <v>258</v>
      </c>
      <c r="C880" s="86" t="n">
        <v>8</v>
      </c>
      <c r="D880" s="82" t="n">
        <v>17.3</v>
      </c>
      <c r="E880" s="82" t="n">
        <v>55.9</v>
      </c>
      <c r="F880" s="82" t="n">
        <v>39.13</v>
      </c>
      <c r="G880" s="84" t="n">
        <v>0.76</v>
      </c>
      <c r="H880" s="88"/>
      <c r="I880" s="82" t="n">
        <v>17.2</v>
      </c>
      <c r="J880" s="91"/>
      <c r="K880" s="91"/>
      <c r="L880" s="85"/>
      <c r="M880" s="89" t="n">
        <v>7.99</v>
      </c>
      <c r="N880" s="90" t="n">
        <v>17.2</v>
      </c>
      <c r="O880" s="92"/>
      <c r="P880" s="92"/>
      <c r="Q880" s="90" t="n">
        <v>0.44</v>
      </c>
      <c r="R880" s="89" t="n">
        <v>7.99</v>
      </c>
      <c r="S880" s="90" t="n">
        <v>17.2</v>
      </c>
      <c r="T880" s="92"/>
      <c r="U880" s="92"/>
      <c r="V880" s="89"/>
      <c r="W880" s="89" t="n">
        <v>7.98</v>
      </c>
      <c r="X880" s="90" t="n">
        <v>17.1</v>
      </c>
      <c r="Y880" s="92"/>
      <c r="Z880" s="92"/>
      <c r="AA880" s="89" t="n">
        <v>0.14</v>
      </c>
      <c r="AB880" s="89" t="n">
        <v>8</v>
      </c>
      <c r="AC880" s="90" t="n">
        <v>17.7</v>
      </c>
      <c r="AD880" s="90" t="n">
        <v>55.9</v>
      </c>
      <c r="AE880" s="82" t="n">
        <v>39.13</v>
      </c>
      <c r="AF880" s="85"/>
      <c r="AG880" s="89" t="n">
        <v>0.11</v>
      </c>
      <c r="AH880" s="85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</row>
    <row r="881" customFormat="false" ht="16.15" hidden="false" customHeight="false" outlineLevel="0" collapsed="false">
      <c r="A881" s="80" t="n">
        <v>45566</v>
      </c>
      <c r="B881" s="2" t="s">
        <v>51</v>
      </c>
      <c r="C881" s="81" t="n">
        <v>8</v>
      </c>
      <c r="D881" s="82" t="n">
        <v>17</v>
      </c>
      <c r="E881" s="82" t="n">
        <v>56</v>
      </c>
      <c r="F881" s="82" t="n">
        <v>39.2</v>
      </c>
      <c r="G881" s="82" t="n">
        <v>0.77</v>
      </c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90" t="n">
        <v>8.28</v>
      </c>
      <c r="AU881" s="90" t="n">
        <v>17.9</v>
      </c>
      <c r="AV881" s="90" t="n">
        <v>495</v>
      </c>
      <c r="AW881" s="90" t="n">
        <v>272.25</v>
      </c>
      <c r="AX881" s="90" t="n">
        <v>1</v>
      </c>
      <c r="AY881" s="89" t="n">
        <v>0.32</v>
      </c>
    </row>
    <row r="882" customFormat="false" ht="16.15" hidden="false" customHeight="false" outlineLevel="0" collapsed="false">
      <c r="A882" s="80" t="n">
        <v>45566</v>
      </c>
      <c r="B882" s="2" t="s">
        <v>201</v>
      </c>
      <c r="C882" s="47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89" t="n">
        <v>6.46</v>
      </c>
      <c r="AP882" s="90" t="n">
        <v>17.6</v>
      </c>
      <c r="AQ882" s="90" t="n">
        <v>350</v>
      </c>
      <c r="AR882" s="90" t="n">
        <v>192.5</v>
      </c>
      <c r="AS882" s="89" t="n">
        <v>0.08</v>
      </c>
      <c r="AT882" s="48"/>
      <c r="AU882" s="48"/>
      <c r="AV882" s="48"/>
      <c r="AW882" s="48"/>
      <c r="AX882" s="48"/>
      <c r="AY882" s="48"/>
    </row>
    <row r="883" customFormat="false" ht="16.15" hidden="false" customHeight="false" outlineLevel="0" collapsed="false">
      <c r="A883" s="80" t="n">
        <v>45962</v>
      </c>
      <c r="B883" s="2" t="s">
        <v>51</v>
      </c>
      <c r="C883" s="81" t="n">
        <v>8.02</v>
      </c>
      <c r="D883" s="82" t="n">
        <v>17.1</v>
      </c>
      <c r="E883" s="82" t="n">
        <v>56</v>
      </c>
      <c r="F883" s="82" t="n">
        <v>39.2</v>
      </c>
      <c r="G883" s="82" t="n">
        <v>0.89</v>
      </c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90" t="n">
        <v>6.56</v>
      </c>
      <c r="AP883" s="90" t="n">
        <v>17.7</v>
      </c>
      <c r="AQ883" s="90" t="n">
        <v>311</v>
      </c>
      <c r="AR883" s="90" t="n">
        <v>171.05</v>
      </c>
      <c r="AS883" s="89" t="n">
        <v>0.09</v>
      </c>
      <c r="AT883" s="90" t="n">
        <v>8.35</v>
      </c>
      <c r="AU883" s="90" t="n">
        <v>17.7</v>
      </c>
      <c r="AV883" s="90" t="n">
        <v>495</v>
      </c>
      <c r="AW883" s="90" t="n">
        <v>272.25</v>
      </c>
      <c r="AX883" s="90" t="n">
        <v>1</v>
      </c>
      <c r="AY883" s="89" t="n">
        <v>0.65</v>
      </c>
    </row>
    <row r="884" customFormat="false" ht="16.15" hidden="false" customHeight="false" outlineLevel="0" collapsed="false">
      <c r="A884" s="80" t="n">
        <v>45992</v>
      </c>
      <c r="B884" s="2" t="s">
        <v>51</v>
      </c>
      <c r="C884" s="81" t="n">
        <v>8.08</v>
      </c>
      <c r="D884" s="82" t="n">
        <v>17</v>
      </c>
      <c r="E884" s="82" t="n">
        <v>55.9</v>
      </c>
      <c r="F884" s="82" t="n">
        <v>39.13</v>
      </c>
      <c r="G884" s="82" t="n">
        <v>1.22</v>
      </c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21"/>
      <c r="AP884" s="21"/>
      <c r="AQ884" s="21"/>
      <c r="AR884" s="21"/>
      <c r="AS884" s="21"/>
      <c r="AT884" s="90" t="n">
        <v>8.2</v>
      </c>
      <c r="AU884" s="90" t="n">
        <v>17.7</v>
      </c>
      <c r="AV884" s="90" t="n">
        <v>472</v>
      </c>
      <c r="AW884" s="90" t="n">
        <v>259.6</v>
      </c>
      <c r="AX884" s="90" t="n">
        <v>1</v>
      </c>
      <c r="AY884" s="89" t="n">
        <v>0.18</v>
      </c>
    </row>
    <row r="885" customFormat="false" ht="16.15" hidden="false" customHeight="false" outlineLevel="0" collapsed="false">
      <c r="A885" s="80" t="n">
        <v>45992</v>
      </c>
      <c r="B885" s="2" t="s">
        <v>259</v>
      </c>
      <c r="C885" s="47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84" t="n">
        <v>6.48</v>
      </c>
      <c r="AP885" s="82" t="n">
        <v>17.5</v>
      </c>
      <c r="AQ885" s="82" t="n">
        <v>426</v>
      </c>
      <c r="AR885" s="82" t="n">
        <v>234.3</v>
      </c>
      <c r="AS885" s="84" t="n">
        <v>0.01</v>
      </c>
      <c r="AT885" s="48"/>
      <c r="AU885" s="48"/>
      <c r="AV885" s="48"/>
      <c r="AW885" s="48"/>
      <c r="AX885" s="48"/>
      <c r="AY885" s="48"/>
    </row>
    <row r="886" customFormat="false" ht="16.15" hidden="false" customHeight="false" outlineLevel="0" collapsed="false">
      <c r="A886" s="80" t="s">
        <v>260</v>
      </c>
      <c r="B886" s="2" t="s">
        <v>51</v>
      </c>
      <c r="C886" s="47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90" t="n">
        <v>8.26</v>
      </c>
      <c r="AU886" s="90" t="n">
        <v>17.5</v>
      </c>
      <c r="AV886" s="90" t="n">
        <v>444</v>
      </c>
      <c r="AW886" s="90" t="n">
        <v>244.2</v>
      </c>
      <c r="AX886" s="90" t="n">
        <v>1</v>
      </c>
      <c r="AY886" s="89" t="n">
        <v>0.26</v>
      </c>
    </row>
    <row r="887" customFormat="false" ht="16.15" hidden="false" customHeight="false" outlineLevel="0" collapsed="false">
      <c r="A887" s="80" t="s">
        <v>261</v>
      </c>
      <c r="B887" s="2" t="s">
        <v>51</v>
      </c>
      <c r="C887" s="47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90" t="n">
        <v>8.29</v>
      </c>
      <c r="AU887" s="90" t="n">
        <v>16.7</v>
      </c>
      <c r="AV887" s="90" t="n">
        <v>457</v>
      </c>
      <c r="AW887" s="90" t="n">
        <v>251.35</v>
      </c>
      <c r="AX887" s="90" t="n">
        <v>1</v>
      </c>
      <c r="AY887" s="89" t="n">
        <v>0.14</v>
      </c>
    </row>
    <row r="888" customFormat="false" ht="16.15" hidden="false" customHeight="false" outlineLevel="0" collapsed="false">
      <c r="A888" s="80" t="s">
        <v>262</v>
      </c>
      <c r="B888" s="2" t="s">
        <v>51</v>
      </c>
      <c r="C888" s="47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90" t="n">
        <v>8.32</v>
      </c>
      <c r="AU888" s="90" t="n">
        <v>16.9</v>
      </c>
      <c r="AV888" s="90" t="n">
        <v>404</v>
      </c>
      <c r="AW888" s="90" t="n">
        <v>222.2</v>
      </c>
      <c r="AX888" s="90" t="n">
        <v>1.2</v>
      </c>
      <c r="AY888" s="89" t="n">
        <v>0.21</v>
      </c>
    </row>
    <row r="889" customFormat="false" ht="16.15" hidden="false" customHeight="false" outlineLevel="0" collapsed="false">
      <c r="A889" s="80" t="s">
        <v>263</v>
      </c>
      <c r="B889" s="2" t="s">
        <v>51</v>
      </c>
      <c r="C889" s="81" t="n">
        <v>8.04</v>
      </c>
      <c r="D889" s="82" t="n">
        <v>15.4</v>
      </c>
      <c r="E889" s="82" t="n">
        <v>56.1</v>
      </c>
      <c r="F889" s="82" t="n">
        <v>39.27</v>
      </c>
      <c r="G889" s="82" t="n">
        <v>1.04</v>
      </c>
      <c r="H889" s="82" t="n">
        <v>8.02</v>
      </c>
      <c r="I889" s="82" t="n">
        <v>16.1</v>
      </c>
      <c r="J889" s="83"/>
      <c r="K889" s="83"/>
      <c r="L889" s="82" t="n">
        <v>1.44</v>
      </c>
      <c r="M889" s="82" t="n">
        <v>8.02</v>
      </c>
      <c r="N889" s="82" t="n">
        <v>16.1</v>
      </c>
      <c r="O889" s="83"/>
      <c r="P889" s="83"/>
      <c r="Q889" s="82" t="n">
        <v>1.18</v>
      </c>
      <c r="R889" s="82" t="n">
        <v>8</v>
      </c>
      <c r="S889" s="82" t="n">
        <v>16.2</v>
      </c>
      <c r="T889" s="83"/>
      <c r="U889" s="83"/>
      <c r="V889" s="84" t="n">
        <v>0.02</v>
      </c>
      <c r="W889" s="82" t="n">
        <v>8</v>
      </c>
      <c r="X889" s="82" t="n">
        <v>16.2</v>
      </c>
      <c r="Y889" s="83"/>
      <c r="Z889" s="83"/>
      <c r="AA889" s="84" t="n">
        <v>0.03</v>
      </c>
      <c r="AB889" s="82" t="n">
        <v>7.99</v>
      </c>
      <c r="AC889" s="82" t="n">
        <v>16.3</v>
      </c>
      <c r="AD889" s="93" t="n">
        <v>56.2</v>
      </c>
      <c r="AE889" s="82" t="n">
        <v>39.34</v>
      </c>
      <c r="AF889" s="85"/>
      <c r="AG889" s="94" t="n">
        <v>0.01</v>
      </c>
      <c r="AH889" s="85"/>
      <c r="AI889" s="82" t="n">
        <v>7.99</v>
      </c>
      <c r="AJ889" s="82" t="n">
        <v>16.3</v>
      </c>
      <c r="AK889" s="82" t="n">
        <v>56.2</v>
      </c>
      <c r="AL889" s="82" t="n">
        <v>39.34</v>
      </c>
      <c r="AM889" s="85"/>
      <c r="AN889" s="84" t="n">
        <v>0.01</v>
      </c>
      <c r="AO889" s="82" t="n">
        <v>6.5</v>
      </c>
      <c r="AP889" s="82" t="n">
        <v>16.6</v>
      </c>
      <c r="AQ889" s="82" t="n">
        <v>273</v>
      </c>
      <c r="AR889" s="90" t="n">
        <v>150.15</v>
      </c>
      <c r="AS889" s="84" t="n">
        <v>0.01</v>
      </c>
      <c r="AT889" s="90" t="n">
        <v>8.09</v>
      </c>
      <c r="AU889" s="90" t="n">
        <v>17</v>
      </c>
      <c r="AV889" s="90" t="n">
        <v>540</v>
      </c>
      <c r="AW889" s="90" t="n">
        <v>297</v>
      </c>
      <c r="AX889" s="90" t="n">
        <v>0.9</v>
      </c>
      <c r="AY889" s="89" t="n">
        <v>0.2</v>
      </c>
    </row>
    <row r="890" customFormat="false" ht="16.15" hidden="false" customHeight="false" outlineLevel="0" collapsed="false">
      <c r="A890" s="80" t="s">
        <v>263</v>
      </c>
      <c r="B890" s="2" t="s">
        <v>201</v>
      </c>
      <c r="C890" s="86" t="n">
        <v>8.12</v>
      </c>
      <c r="D890" s="82" t="n">
        <v>15.5</v>
      </c>
      <c r="E890" s="82" t="n">
        <v>55.6</v>
      </c>
      <c r="F890" s="82" t="n">
        <v>38.92</v>
      </c>
      <c r="G890" s="84" t="n">
        <v>0.31</v>
      </c>
      <c r="H890" s="89" t="n">
        <v>8.1</v>
      </c>
      <c r="I890" s="90" t="n">
        <v>16</v>
      </c>
      <c r="J890" s="92"/>
      <c r="K890" s="92"/>
      <c r="L890" s="90" t="n">
        <v>1</v>
      </c>
      <c r="M890" s="84" t="n">
        <v>8.11</v>
      </c>
      <c r="N890" s="82" t="n">
        <v>16.1</v>
      </c>
      <c r="O890" s="83"/>
      <c r="P890" s="83"/>
      <c r="Q890" s="82" t="n">
        <v>1.15</v>
      </c>
      <c r="R890" s="82" t="n">
        <v>8.12</v>
      </c>
      <c r="S890" s="82" t="n">
        <v>16</v>
      </c>
      <c r="T890" s="92"/>
      <c r="U890" s="92"/>
      <c r="V890" s="84" t="n">
        <v>0.01</v>
      </c>
      <c r="W890" s="84" t="n">
        <v>8.12</v>
      </c>
      <c r="X890" s="82" t="n">
        <v>16</v>
      </c>
      <c r="Y890" s="83"/>
      <c r="Z890" s="83"/>
      <c r="AA890" s="84" t="n">
        <v>0.01</v>
      </c>
      <c r="AB890" s="82" t="n">
        <v>8.13</v>
      </c>
      <c r="AC890" s="82" t="n">
        <v>16</v>
      </c>
      <c r="AD890" s="82" t="n">
        <v>55.6</v>
      </c>
      <c r="AE890" s="82" t="n">
        <v>38.92</v>
      </c>
      <c r="AF890" s="85"/>
      <c r="AG890" s="84" t="n">
        <v>0.01</v>
      </c>
      <c r="AH890" s="85"/>
      <c r="AI890" s="84" t="n">
        <v>8.11</v>
      </c>
      <c r="AJ890" s="82" t="n">
        <v>16</v>
      </c>
      <c r="AK890" s="82" t="n">
        <v>55.6</v>
      </c>
      <c r="AL890" s="82" t="n">
        <v>38.92</v>
      </c>
      <c r="AM890" s="85"/>
      <c r="AN890" s="84" t="n">
        <v>0.01</v>
      </c>
      <c r="AO890" s="84" t="n">
        <v>7.11</v>
      </c>
      <c r="AP890" s="82" t="n">
        <v>16.9</v>
      </c>
      <c r="AQ890" s="82" t="n">
        <v>323</v>
      </c>
      <c r="AR890" s="90" t="n">
        <v>177.65</v>
      </c>
      <c r="AS890" s="84" t="n">
        <v>0.01</v>
      </c>
      <c r="AT890" s="84" t="n">
        <v>8.07</v>
      </c>
      <c r="AU890" s="82" t="n">
        <v>17.1</v>
      </c>
      <c r="AV890" s="82" t="n">
        <v>427</v>
      </c>
      <c r="AW890" s="90" t="n">
        <v>234.85</v>
      </c>
      <c r="AX890" s="82" t="n">
        <v>0.9</v>
      </c>
      <c r="AY890" s="84" t="n">
        <v>0.29</v>
      </c>
    </row>
    <row r="891" customFormat="false" ht="16.15" hidden="false" customHeight="false" outlineLevel="0" collapsed="false">
      <c r="A891" s="80" t="s">
        <v>263</v>
      </c>
      <c r="B891" s="2" t="s">
        <v>258</v>
      </c>
      <c r="C891" s="86" t="n">
        <v>8.12</v>
      </c>
      <c r="D891" s="82" t="n">
        <v>16</v>
      </c>
      <c r="E891" s="82" t="n">
        <v>55.6</v>
      </c>
      <c r="F891" s="82" t="n">
        <v>38.92</v>
      </c>
      <c r="G891" s="84" t="n">
        <v>0.35</v>
      </c>
      <c r="H891" s="84" t="n">
        <v>8.1</v>
      </c>
      <c r="I891" s="82" t="n">
        <v>16.3</v>
      </c>
      <c r="J891" s="83"/>
      <c r="K891" s="83"/>
      <c r="L891" s="82" t="n">
        <v>1.02</v>
      </c>
      <c r="M891" s="84" t="n">
        <v>8.11</v>
      </c>
      <c r="N891" s="82" t="n">
        <v>16.3</v>
      </c>
      <c r="O891" s="83"/>
      <c r="P891" s="83"/>
      <c r="Q891" s="82" t="n">
        <v>1.17</v>
      </c>
      <c r="R891" s="84" t="n">
        <v>8.12</v>
      </c>
      <c r="S891" s="82" t="n">
        <v>16.3</v>
      </c>
      <c r="T891" s="83"/>
      <c r="U891" s="83"/>
      <c r="V891" s="84" t="n">
        <v>0.01</v>
      </c>
      <c r="W891" s="84" t="n">
        <v>8.11</v>
      </c>
      <c r="X891" s="82" t="n">
        <v>16.3</v>
      </c>
      <c r="Y891" s="83"/>
      <c r="Z891" s="83"/>
      <c r="AA891" s="84" t="n">
        <v>0.01</v>
      </c>
      <c r="AB891" s="84" t="n">
        <v>8.03</v>
      </c>
      <c r="AC891" s="82" t="n">
        <v>16.6</v>
      </c>
      <c r="AD891" s="82" t="n">
        <v>56.1</v>
      </c>
      <c r="AE891" s="82" t="n">
        <v>39.27</v>
      </c>
      <c r="AF891" s="85"/>
      <c r="AG891" s="84" t="n">
        <v>0.01</v>
      </c>
      <c r="AH891" s="85"/>
      <c r="AI891" s="84" t="n">
        <v>8.06</v>
      </c>
      <c r="AJ891" s="82" t="n">
        <v>16.7</v>
      </c>
      <c r="AK891" s="82" t="n">
        <v>56</v>
      </c>
      <c r="AL891" s="82" t="n">
        <v>39.2</v>
      </c>
      <c r="AM891" s="85"/>
      <c r="AN891" s="84" t="n">
        <v>0.01</v>
      </c>
      <c r="AO891" s="84" t="n">
        <v>7.18</v>
      </c>
      <c r="AP891" s="82" t="n">
        <v>16.8</v>
      </c>
      <c r="AQ891" s="82" t="n">
        <v>248</v>
      </c>
      <c r="AR891" s="90" t="n">
        <v>136.4</v>
      </c>
      <c r="AS891" s="84" t="n">
        <v>0.01</v>
      </c>
      <c r="AT891" s="84" t="n">
        <v>8.4</v>
      </c>
      <c r="AU891" s="82" t="n">
        <v>17.3</v>
      </c>
      <c r="AV891" s="82" t="n">
        <v>416</v>
      </c>
      <c r="AW891" s="90" t="n">
        <v>228.8</v>
      </c>
      <c r="AX891" s="82" t="n">
        <v>1</v>
      </c>
      <c r="AY891" s="84" t="n">
        <v>0.15</v>
      </c>
    </row>
    <row r="892" customFormat="false" ht="16.15" hidden="false" customHeight="false" outlineLevel="0" collapsed="false">
      <c r="A892" s="80" t="s">
        <v>264</v>
      </c>
      <c r="B892" s="2" t="s">
        <v>258</v>
      </c>
      <c r="C892" s="86" t="n">
        <v>8.12</v>
      </c>
      <c r="D892" s="82" t="n">
        <v>16</v>
      </c>
      <c r="E892" s="82" t="n">
        <v>55.6</v>
      </c>
      <c r="F892" s="82" t="n">
        <v>38.92</v>
      </c>
      <c r="G892" s="84" t="n">
        <v>0.35</v>
      </c>
      <c r="H892" s="84" t="n">
        <v>8.1</v>
      </c>
      <c r="I892" s="82" t="n">
        <v>16.3</v>
      </c>
      <c r="J892" s="83"/>
      <c r="K892" s="83"/>
      <c r="L892" s="82" t="n">
        <v>1.02</v>
      </c>
      <c r="M892" s="84" t="n">
        <v>8.11</v>
      </c>
      <c r="N892" s="82" t="n">
        <v>16.3</v>
      </c>
      <c r="O892" s="83"/>
      <c r="P892" s="83"/>
      <c r="Q892" s="82" t="n">
        <v>1.17</v>
      </c>
      <c r="R892" s="84" t="n">
        <v>8.12</v>
      </c>
      <c r="S892" s="82" t="n">
        <v>16.3</v>
      </c>
      <c r="T892" s="83"/>
      <c r="U892" s="83"/>
      <c r="V892" s="84" t="n">
        <v>0.01</v>
      </c>
      <c r="W892" s="84" t="n">
        <v>8.11</v>
      </c>
      <c r="X892" s="82" t="n">
        <v>16.3</v>
      </c>
      <c r="Y892" s="83"/>
      <c r="Z892" s="83"/>
      <c r="AA892" s="84" t="n">
        <v>0.01</v>
      </c>
      <c r="AB892" s="84" t="n">
        <v>8.03</v>
      </c>
      <c r="AC892" s="82" t="n">
        <v>16.6</v>
      </c>
      <c r="AD892" s="82" t="n">
        <v>56.1</v>
      </c>
      <c r="AE892" s="82" t="n">
        <v>39.27</v>
      </c>
      <c r="AF892" s="85"/>
      <c r="AG892" s="84" t="n">
        <v>0.01</v>
      </c>
      <c r="AH892" s="85"/>
      <c r="AI892" s="84" t="n">
        <v>8.06</v>
      </c>
      <c r="AJ892" s="82" t="n">
        <v>16.7</v>
      </c>
      <c r="AK892" s="82" t="n">
        <v>56</v>
      </c>
      <c r="AL892" s="82" t="n">
        <v>39.2</v>
      </c>
      <c r="AM892" s="85"/>
      <c r="AN892" s="84" t="n">
        <v>0.01</v>
      </c>
      <c r="AO892" s="84" t="n">
        <v>7.18</v>
      </c>
      <c r="AP892" s="82" t="n">
        <v>16.8</v>
      </c>
      <c r="AQ892" s="82" t="n">
        <v>248</v>
      </c>
      <c r="AR892" s="90" t="n">
        <v>136.4</v>
      </c>
      <c r="AS892" s="84" t="n">
        <v>0.01</v>
      </c>
      <c r="AT892" s="84" t="n">
        <v>8.4</v>
      </c>
      <c r="AU892" s="82" t="n">
        <v>17.3</v>
      </c>
      <c r="AV892" s="82" t="n">
        <v>416</v>
      </c>
      <c r="AW892" s="90" t="n">
        <v>228.8</v>
      </c>
      <c r="AX892" s="83"/>
      <c r="AY892" s="84" t="n">
        <v>0.15</v>
      </c>
    </row>
    <row r="893" customFormat="false" ht="16.15" hidden="false" customHeight="false" outlineLevel="0" collapsed="false">
      <c r="A893" s="80" t="s">
        <v>265</v>
      </c>
      <c r="B893" s="2" t="s">
        <v>51</v>
      </c>
      <c r="C893" s="81" t="n">
        <v>8.15</v>
      </c>
      <c r="D893" s="82" t="n">
        <v>15.4</v>
      </c>
      <c r="E893" s="82" t="n">
        <v>56.9</v>
      </c>
      <c r="F893" s="82" t="n">
        <v>39.83</v>
      </c>
      <c r="G893" s="82" t="n">
        <v>0.45</v>
      </c>
      <c r="H893" s="82" t="n">
        <v>8.13</v>
      </c>
      <c r="I893" s="82" t="n">
        <v>16.1</v>
      </c>
      <c r="J893" s="83"/>
      <c r="K893" s="83"/>
      <c r="L893" s="82" t="n">
        <v>1.33</v>
      </c>
      <c r="M893" s="82" t="n">
        <v>8.13</v>
      </c>
      <c r="N893" s="82" t="n">
        <v>16.1</v>
      </c>
      <c r="O893" s="83"/>
      <c r="P893" s="83"/>
      <c r="Q893" s="82" t="n">
        <v>2.1</v>
      </c>
      <c r="R893" s="82" t="n">
        <v>8.12</v>
      </c>
      <c r="S893" s="82" t="n">
        <v>16.2</v>
      </c>
      <c r="T893" s="83"/>
      <c r="U893" s="83"/>
      <c r="V893" s="84" t="n">
        <v>0.02</v>
      </c>
      <c r="W893" s="82" t="n">
        <v>8.12</v>
      </c>
      <c r="X893" s="82" t="n">
        <v>16.2</v>
      </c>
      <c r="Y893" s="83"/>
      <c r="Z893" s="83"/>
      <c r="AA893" s="84" t="n">
        <v>0.01</v>
      </c>
      <c r="AB893" s="82" t="n">
        <v>8.1</v>
      </c>
      <c r="AC893" s="82" t="n">
        <v>16.3</v>
      </c>
      <c r="AD893" s="93" t="n">
        <v>56.6</v>
      </c>
      <c r="AE893" s="82" t="n">
        <v>39.62</v>
      </c>
      <c r="AF893" s="85"/>
      <c r="AG893" s="94" t="n">
        <v>0.01</v>
      </c>
      <c r="AH893" s="85"/>
      <c r="AI893" s="82" t="n">
        <v>8.1</v>
      </c>
      <c r="AJ893" s="82" t="n">
        <v>16.3</v>
      </c>
      <c r="AK893" s="82" t="n">
        <v>56.6</v>
      </c>
      <c r="AL893" s="82" t="n">
        <v>39.62</v>
      </c>
      <c r="AM893" s="85"/>
      <c r="AN893" s="84" t="n">
        <v>0.01</v>
      </c>
      <c r="AO893" s="82" t="n">
        <v>7.12</v>
      </c>
      <c r="AP893" s="82" t="n">
        <v>16.6</v>
      </c>
      <c r="AQ893" s="82" t="n">
        <v>259</v>
      </c>
      <c r="AR893" s="90" t="n">
        <v>142.45</v>
      </c>
      <c r="AS893" s="84" t="n">
        <v>0.01</v>
      </c>
      <c r="AT893" s="90" t="n">
        <v>8.24</v>
      </c>
      <c r="AU893" s="90" t="n">
        <v>16.7</v>
      </c>
      <c r="AV893" s="90" t="n">
        <v>480</v>
      </c>
      <c r="AW893" s="90" t="n">
        <v>264</v>
      </c>
      <c r="AX893" s="90" t="n">
        <v>1</v>
      </c>
      <c r="AY893" s="89" t="n">
        <v>0.07</v>
      </c>
    </row>
    <row r="894" customFormat="false" ht="16.15" hidden="false" customHeight="false" outlineLevel="0" collapsed="false">
      <c r="A894" s="80" t="s">
        <v>265</v>
      </c>
      <c r="B894" s="2" t="s">
        <v>201</v>
      </c>
      <c r="C894" s="86" t="n">
        <v>8.14</v>
      </c>
      <c r="D894" s="82" t="n">
        <v>15.4</v>
      </c>
      <c r="E894" s="82" t="n">
        <v>56.6</v>
      </c>
      <c r="F894" s="82" t="n">
        <v>39.62</v>
      </c>
      <c r="G894" s="84" t="n">
        <v>1.45</v>
      </c>
      <c r="H894" s="89" t="n">
        <v>8.13</v>
      </c>
      <c r="I894" s="90" t="n">
        <v>15.8</v>
      </c>
      <c r="J894" s="92"/>
      <c r="K894" s="92"/>
      <c r="L894" s="90" t="n">
        <v>1.57</v>
      </c>
      <c r="M894" s="84" t="n">
        <v>8.13</v>
      </c>
      <c r="N894" s="82" t="n">
        <v>15.8</v>
      </c>
      <c r="O894" s="83"/>
      <c r="P894" s="83"/>
      <c r="Q894" s="82" t="n">
        <v>2.08</v>
      </c>
      <c r="R894" s="82" t="n">
        <v>8.12</v>
      </c>
      <c r="S894" s="82" t="n">
        <v>16.2</v>
      </c>
      <c r="T894" s="92"/>
      <c r="U894" s="92"/>
      <c r="V894" s="84" t="n">
        <v>0.03</v>
      </c>
      <c r="W894" s="84" t="n">
        <v>8.12</v>
      </c>
      <c r="X894" s="82" t="n">
        <v>16.2</v>
      </c>
      <c r="Y894" s="83"/>
      <c r="Z894" s="83"/>
      <c r="AA894" s="84" t="n">
        <v>0.03</v>
      </c>
      <c r="AB894" s="82" t="n">
        <v>8.09</v>
      </c>
      <c r="AC894" s="82" t="n">
        <v>16.4</v>
      </c>
      <c r="AD894" s="82" t="n">
        <v>56.6</v>
      </c>
      <c r="AE894" s="82" t="n">
        <v>39.62</v>
      </c>
      <c r="AF894" s="85"/>
      <c r="AG894" s="84" t="n">
        <v>0.01</v>
      </c>
      <c r="AH894" s="85"/>
      <c r="AI894" s="84" t="n">
        <v>8.1</v>
      </c>
      <c r="AJ894" s="82" t="n">
        <v>16.4</v>
      </c>
      <c r="AK894" s="82" t="n">
        <v>56.6</v>
      </c>
      <c r="AL894" s="82" t="n">
        <v>39.62</v>
      </c>
      <c r="AM894" s="85"/>
      <c r="AN894" s="84" t="n">
        <v>0.01</v>
      </c>
      <c r="AO894" s="84" t="n">
        <v>7.13</v>
      </c>
      <c r="AP894" s="82" t="n">
        <v>16.4</v>
      </c>
      <c r="AQ894" s="82" t="n">
        <v>245</v>
      </c>
      <c r="AR894" s="90" t="n">
        <v>134.75</v>
      </c>
      <c r="AS894" s="84" t="n">
        <v>0.01</v>
      </c>
      <c r="AT894" s="84" t="n">
        <v>8.19</v>
      </c>
      <c r="AU894" s="82" t="n">
        <v>16.9</v>
      </c>
      <c r="AV894" s="82" t="n">
        <v>417</v>
      </c>
      <c r="AW894" s="90" t="n">
        <v>229.35</v>
      </c>
      <c r="AX894" s="82" t="n">
        <v>1</v>
      </c>
      <c r="AY894" s="84" t="n">
        <v>0.07</v>
      </c>
    </row>
    <row r="895" customFormat="false" ht="16.15" hidden="false" customHeight="false" outlineLevel="0" collapsed="false">
      <c r="A895" s="80" t="s">
        <v>265</v>
      </c>
      <c r="B895" s="2" t="s">
        <v>258</v>
      </c>
      <c r="C895" s="86" t="n">
        <v>8.17</v>
      </c>
      <c r="D895" s="82" t="n">
        <v>15.4</v>
      </c>
      <c r="E895" s="82" t="n">
        <v>55.5</v>
      </c>
      <c r="F895" s="82" t="n">
        <v>38.85</v>
      </c>
      <c r="G895" s="84" t="n">
        <v>8.62</v>
      </c>
      <c r="H895" s="84" t="n">
        <v>8.16</v>
      </c>
      <c r="I895" s="82" t="n">
        <v>15.9</v>
      </c>
      <c r="J895" s="83"/>
      <c r="K895" s="83"/>
      <c r="L895" s="82" t="n">
        <v>9</v>
      </c>
      <c r="M895" s="84" t="n">
        <v>8.16</v>
      </c>
      <c r="N895" s="82" t="n">
        <v>15.9</v>
      </c>
      <c r="O895" s="83"/>
      <c r="P895" s="83"/>
      <c r="Q895" s="82" t="n">
        <v>7.79</v>
      </c>
      <c r="R895" s="84" t="n">
        <v>8.15</v>
      </c>
      <c r="S895" s="82" t="n">
        <v>15.9</v>
      </c>
      <c r="T895" s="83"/>
      <c r="U895" s="83"/>
      <c r="V895" s="84" t="n">
        <v>0.04</v>
      </c>
      <c r="W895" s="84" t="n">
        <v>8.15</v>
      </c>
      <c r="X895" s="82" t="n">
        <v>15.9</v>
      </c>
      <c r="Y895" s="83"/>
      <c r="Z895" s="83"/>
      <c r="AA895" s="84" t="n">
        <v>0.02</v>
      </c>
      <c r="AB895" s="84" t="n">
        <v>8.13</v>
      </c>
      <c r="AC895" s="82" t="n">
        <v>16</v>
      </c>
      <c r="AD895" s="82" t="n">
        <v>55.4</v>
      </c>
      <c r="AE895" s="82" t="n">
        <v>38.78</v>
      </c>
      <c r="AF895" s="85"/>
      <c r="AG895" s="84" t="n">
        <v>0.02</v>
      </c>
      <c r="AH895" s="85"/>
      <c r="AI895" s="84" t="n">
        <v>8.13</v>
      </c>
      <c r="AJ895" s="82" t="n">
        <v>16</v>
      </c>
      <c r="AK895" s="82" t="n">
        <v>55.4</v>
      </c>
      <c r="AL895" s="82" t="n">
        <v>38.78</v>
      </c>
      <c r="AM895" s="85"/>
      <c r="AN895" s="84" t="n">
        <v>0.01</v>
      </c>
      <c r="AO895" s="84" t="n">
        <v>7.18</v>
      </c>
      <c r="AP895" s="82" t="n">
        <v>16.6</v>
      </c>
      <c r="AQ895" s="82" t="n">
        <v>280</v>
      </c>
      <c r="AR895" s="90" t="n">
        <v>154</v>
      </c>
      <c r="AS895" s="84" t="n">
        <v>0.01</v>
      </c>
      <c r="AT895" s="84" t="n">
        <v>8.21</v>
      </c>
      <c r="AU895" s="82" t="n">
        <v>17.1</v>
      </c>
      <c r="AV895" s="82" t="n">
        <v>418</v>
      </c>
      <c r="AW895" s="90" t="n">
        <v>229.9</v>
      </c>
      <c r="AX895" s="82"/>
      <c r="AY895" s="84" t="n">
        <v>0.09</v>
      </c>
    </row>
    <row r="896" customFormat="false" ht="16.15" hidden="false" customHeight="false" outlineLevel="0" collapsed="false">
      <c r="A896" s="80" t="s">
        <v>266</v>
      </c>
      <c r="B896" s="2" t="s">
        <v>51</v>
      </c>
      <c r="C896" s="81" t="n">
        <v>8.15</v>
      </c>
      <c r="D896" s="82" t="n">
        <v>15.6</v>
      </c>
      <c r="E896" s="82" t="n">
        <v>54.7</v>
      </c>
      <c r="F896" s="82" t="n">
        <v>38.29</v>
      </c>
      <c r="G896" s="82" t="n">
        <v>10.3</v>
      </c>
      <c r="H896" s="82" t="n">
        <v>8.11</v>
      </c>
      <c r="I896" s="82" t="n">
        <v>15.5</v>
      </c>
      <c r="J896" s="83"/>
      <c r="K896" s="83"/>
      <c r="L896" s="82" t="n">
        <v>10.1</v>
      </c>
      <c r="M896" s="82" t="n">
        <v>8.1</v>
      </c>
      <c r="N896" s="82" t="n">
        <v>15.5</v>
      </c>
      <c r="O896" s="83"/>
      <c r="P896" s="83"/>
      <c r="Q896" s="82" t="n">
        <v>10</v>
      </c>
      <c r="R896" s="82" t="n">
        <v>8</v>
      </c>
      <c r="S896" s="82" t="n">
        <v>15.7</v>
      </c>
      <c r="T896" s="83"/>
      <c r="U896" s="83"/>
      <c r="V896" s="84" t="n">
        <v>0.21</v>
      </c>
      <c r="W896" s="82" t="n">
        <v>8.01</v>
      </c>
      <c r="X896" s="82" t="n">
        <v>15.7</v>
      </c>
      <c r="Y896" s="83"/>
      <c r="Z896" s="83"/>
      <c r="AA896" s="84" t="n">
        <v>0.22</v>
      </c>
      <c r="AB896" s="82" t="n">
        <v>7.97</v>
      </c>
      <c r="AC896" s="82" t="n">
        <v>15.7</v>
      </c>
      <c r="AD896" s="93" t="n">
        <v>55.1</v>
      </c>
      <c r="AE896" s="82" t="n">
        <v>38.57</v>
      </c>
      <c r="AF896" s="85"/>
      <c r="AG896" s="94" t="n">
        <v>0.1</v>
      </c>
      <c r="AH896" s="85"/>
      <c r="AI896" s="82" t="n">
        <v>7.96</v>
      </c>
      <c r="AJ896" s="82" t="n">
        <v>15.7</v>
      </c>
      <c r="AK896" s="82" t="n">
        <v>55</v>
      </c>
      <c r="AL896" s="82" t="n">
        <v>38.5</v>
      </c>
      <c r="AM896" s="85"/>
      <c r="AN896" s="84" t="n">
        <v>0.09</v>
      </c>
      <c r="AO896" s="82" t="n">
        <v>6.86</v>
      </c>
      <c r="AP896" s="82" t="n">
        <v>16.2</v>
      </c>
      <c r="AQ896" s="82" t="n">
        <v>413</v>
      </c>
      <c r="AR896" s="90" t="n">
        <v>227.15</v>
      </c>
      <c r="AS896" s="84" t="n">
        <v>0.07</v>
      </c>
      <c r="AT896" s="90" t="n">
        <v>8.47</v>
      </c>
      <c r="AU896" s="90" t="n">
        <v>16.5</v>
      </c>
      <c r="AV896" s="90" t="n">
        <v>482</v>
      </c>
      <c r="AW896" s="90" t="n">
        <v>265.1</v>
      </c>
      <c r="AX896" s="90" t="n">
        <v>0.9</v>
      </c>
      <c r="AY896" s="89" t="n">
        <v>0.44</v>
      </c>
    </row>
    <row r="897" customFormat="false" ht="16.15" hidden="false" customHeight="false" outlineLevel="0" collapsed="false">
      <c r="A897" s="80" t="s">
        <v>266</v>
      </c>
      <c r="B897" s="2" t="s">
        <v>201</v>
      </c>
      <c r="C897" s="86" t="n">
        <v>8.14</v>
      </c>
      <c r="D897" s="82" t="n">
        <v>16</v>
      </c>
      <c r="E897" s="82" t="n">
        <v>54.1</v>
      </c>
      <c r="F897" s="82" t="n">
        <v>37.87</v>
      </c>
      <c r="G897" s="84" t="n">
        <v>12.8</v>
      </c>
      <c r="H897" s="89" t="n">
        <v>8.07</v>
      </c>
      <c r="I897" s="90" t="n">
        <v>15.6</v>
      </c>
      <c r="J897" s="92"/>
      <c r="K897" s="92"/>
      <c r="L897" s="90" t="n">
        <v>10.3</v>
      </c>
      <c r="M897" s="84" t="n">
        <v>8.07</v>
      </c>
      <c r="N897" s="82" t="n">
        <v>15.6</v>
      </c>
      <c r="O897" s="83"/>
      <c r="P897" s="83"/>
      <c r="Q897" s="82" t="n">
        <v>9.41</v>
      </c>
      <c r="R897" s="82" t="n">
        <v>8.02</v>
      </c>
      <c r="S897" s="82" t="n">
        <v>15.3</v>
      </c>
      <c r="T897" s="92"/>
      <c r="U897" s="92"/>
      <c r="V897" s="84" t="n">
        <v>0.31</v>
      </c>
      <c r="W897" s="84" t="n">
        <v>8.02</v>
      </c>
      <c r="X897" s="82" t="n">
        <v>15.9</v>
      </c>
      <c r="Y897" s="83"/>
      <c r="Z897" s="83"/>
      <c r="AA897" s="84" t="n">
        <v>0.48</v>
      </c>
      <c r="AB897" s="82" t="n">
        <v>7.95</v>
      </c>
      <c r="AC897" s="82" t="n">
        <v>16</v>
      </c>
      <c r="AD897" s="82" t="n">
        <v>54.7</v>
      </c>
      <c r="AE897" s="82" t="n">
        <v>38.29</v>
      </c>
      <c r="AF897" s="85"/>
      <c r="AG897" s="84" t="n">
        <v>0.1</v>
      </c>
      <c r="AH897" s="85"/>
      <c r="AI897" s="84" t="n">
        <v>7.99</v>
      </c>
      <c r="AJ897" s="82" t="n">
        <v>16</v>
      </c>
      <c r="AK897" s="82" t="n">
        <v>54.7</v>
      </c>
      <c r="AL897" s="82" t="n">
        <v>38.29</v>
      </c>
      <c r="AM897" s="85"/>
      <c r="AN897" s="84" t="n">
        <v>0.11</v>
      </c>
      <c r="AO897" s="84" t="n">
        <v>6.5</v>
      </c>
      <c r="AP897" s="82" t="n">
        <v>16.2</v>
      </c>
      <c r="AQ897" s="82" t="n">
        <v>260</v>
      </c>
      <c r="AR897" s="90" t="n">
        <v>143</v>
      </c>
      <c r="AS897" s="84" t="n">
        <v>0.05</v>
      </c>
      <c r="AT897" s="84" t="n">
        <v>8.4</v>
      </c>
      <c r="AU897" s="82" t="n">
        <v>17.7</v>
      </c>
      <c r="AV897" s="82" t="n">
        <v>482</v>
      </c>
      <c r="AW897" s="90" t="n">
        <v>265.1</v>
      </c>
      <c r="AX897" s="82" t="n">
        <v>0.9</v>
      </c>
      <c r="AY897" s="84" t="n">
        <v>0.15</v>
      </c>
    </row>
    <row r="898" customFormat="false" ht="16.15" hidden="false" customHeight="false" outlineLevel="0" collapsed="false">
      <c r="A898" s="80" t="s">
        <v>266</v>
      </c>
      <c r="B898" s="2" t="s">
        <v>258</v>
      </c>
      <c r="C898" s="86" t="n">
        <v>8.09</v>
      </c>
      <c r="D898" s="82" t="n">
        <v>16.3</v>
      </c>
      <c r="E898" s="82" t="n">
        <v>55.1</v>
      </c>
      <c r="F898" s="82" t="n">
        <v>38.57</v>
      </c>
      <c r="G898" s="84" t="n">
        <v>10.3</v>
      </c>
      <c r="H898" s="84" t="n">
        <v>8.02</v>
      </c>
      <c r="I898" s="82" t="n">
        <v>16.1</v>
      </c>
      <c r="J898" s="83"/>
      <c r="K898" s="83"/>
      <c r="L898" s="82" t="n">
        <v>10.3</v>
      </c>
      <c r="M898" s="84" t="n">
        <v>8.04</v>
      </c>
      <c r="N898" s="82" t="n">
        <v>16.1</v>
      </c>
      <c r="O898" s="83"/>
      <c r="P898" s="83"/>
      <c r="Q898" s="82" t="n">
        <v>8.62</v>
      </c>
      <c r="R898" s="84" t="n">
        <v>8.04</v>
      </c>
      <c r="S898" s="82" t="n">
        <v>16.1</v>
      </c>
      <c r="T898" s="83"/>
      <c r="U898" s="83"/>
      <c r="V898" s="84" t="n">
        <v>0.91</v>
      </c>
      <c r="W898" s="84" t="n">
        <v>8.04</v>
      </c>
      <c r="X898" s="82" t="n">
        <v>16.1</v>
      </c>
      <c r="Y898" s="83"/>
      <c r="Z898" s="83"/>
      <c r="AA898" s="84" t="n">
        <v>0.91</v>
      </c>
      <c r="AB898" s="84" t="n">
        <v>8.04</v>
      </c>
      <c r="AC898" s="82" t="n">
        <v>16</v>
      </c>
      <c r="AD898" s="82" t="n">
        <v>54.9</v>
      </c>
      <c r="AE898" s="82" t="n">
        <v>38.43</v>
      </c>
      <c r="AF898" s="85"/>
      <c r="AG898" s="84" t="n">
        <v>0.22</v>
      </c>
      <c r="AH898" s="85"/>
      <c r="AI898" s="84" t="n">
        <v>8.04</v>
      </c>
      <c r="AJ898" s="82" t="n">
        <v>16.1</v>
      </c>
      <c r="AK898" s="82" t="n">
        <v>54.9</v>
      </c>
      <c r="AL898" s="82" t="n">
        <v>38.43</v>
      </c>
      <c r="AM898" s="85"/>
      <c r="AN898" s="84" t="n">
        <v>0.21</v>
      </c>
      <c r="AO898" s="84" t="n">
        <v>6.6</v>
      </c>
      <c r="AP898" s="82" t="n">
        <v>16.4</v>
      </c>
      <c r="AQ898" s="82" t="n">
        <v>253</v>
      </c>
      <c r="AR898" s="90" t="n">
        <v>139.15</v>
      </c>
      <c r="AS898" s="84" t="n">
        <v>0.06</v>
      </c>
      <c r="AT898" s="84" t="n">
        <v>8.25</v>
      </c>
      <c r="AU898" s="82" t="n">
        <v>16.7</v>
      </c>
      <c r="AV898" s="82" t="n">
        <v>394</v>
      </c>
      <c r="AW898" s="90" t="n">
        <v>216.7</v>
      </c>
      <c r="AX898" s="82" t="n">
        <v>0.9</v>
      </c>
      <c r="AY898" s="84" t="n">
        <v>0.01</v>
      </c>
    </row>
    <row r="899" customFormat="false" ht="16.15" hidden="false" customHeight="false" outlineLevel="0" collapsed="false">
      <c r="A899" s="80" t="s">
        <v>267</v>
      </c>
      <c r="B899" s="2" t="s">
        <v>51</v>
      </c>
      <c r="C899" s="81" t="n">
        <v>8.1</v>
      </c>
      <c r="D899" s="82" t="n">
        <v>15.1</v>
      </c>
      <c r="E899" s="82" t="n">
        <v>55.8</v>
      </c>
      <c r="F899" s="82" t="n">
        <v>39.06</v>
      </c>
      <c r="G899" s="82" t="n">
        <v>7.5</v>
      </c>
      <c r="H899" s="82" t="n">
        <v>8.08</v>
      </c>
      <c r="I899" s="82" t="n">
        <v>15</v>
      </c>
      <c r="J899" s="83"/>
      <c r="K899" s="83"/>
      <c r="L899" s="82" t="n">
        <v>5.28</v>
      </c>
      <c r="M899" s="82" t="n">
        <v>8.08</v>
      </c>
      <c r="N899" s="82" t="n">
        <v>15</v>
      </c>
      <c r="O899" s="83"/>
      <c r="P899" s="83"/>
      <c r="Q899" s="82" t="n">
        <v>5.3</v>
      </c>
      <c r="R899" s="82" t="n">
        <v>8</v>
      </c>
      <c r="S899" s="82" t="n">
        <v>15</v>
      </c>
      <c r="T899" s="83"/>
      <c r="U899" s="83"/>
      <c r="V899" s="84" t="n">
        <v>0.21</v>
      </c>
      <c r="W899" s="82" t="n">
        <v>8</v>
      </c>
      <c r="X899" s="82" t="n">
        <v>15</v>
      </c>
      <c r="Y899" s="83"/>
      <c r="Z899" s="83"/>
      <c r="AA899" s="84" t="n">
        <v>0.22</v>
      </c>
      <c r="AB899" s="82" t="n">
        <v>7.99</v>
      </c>
      <c r="AC899" s="82" t="n">
        <v>15</v>
      </c>
      <c r="AD899" s="93" t="n">
        <v>55.8</v>
      </c>
      <c r="AE899" s="82" t="n">
        <v>39.06</v>
      </c>
      <c r="AF899" s="85"/>
      <c r="AG899" s="94" t="n">
        <v>0.2</v>
      </c>
      <c r="AH899" s="85"/>
      <c r="AI899" s="82" t="n">
        <v>7.98</v>
      </c>
      <c r="AJ899" s="82" t="n">
        <v>15.1</v>
      </c>
      <c r="AK899" s="82" t="n">
        <v>55.7</v>
      </c>
      <c r="AL899" s="82" t="n">
        <v>38.99</v>
      </c>
      <c r="AM899" s="85"/>
      <c r="AN899" s="84" t="n">
        <v>0.19</v>
      </c>
      <c r="AO899" s="82" t="n">
        <v>6.3</v>
      </c>
      <c r="AP899" s="82" t="n">
        <v>16.4</v>
      </c>
      <c r="AQ899" s="82" t="n">
        <v>289</v>
      </c>
      <c r="AR899" s="90" t="n">
        <v>158.95</v>
      </c>
      <c r="AS899" s="58" t="n">
        <v>0</v>
      </c>
      <c r="AT899" s="90" t="n">
        <v>8.35</v>
      </c>
      <c r="AU899" s="90" t="n">
        <v>16.5</v>
      </c>
      <c r="AV899" s="90" t="n">
        <v>384</v>
      </c>
      <c r="AW899" s="90" t="n">
        <v>211.2</v>
      </c>
      <c r="AX899" s="90" t="n">
        <v>1</v>
      </c>
      <c r="AY899" s="89" t="n">
        <v>0.13</v>
      </c>
    </row>
    <row r="900" customFormat="false" ht="16.15" hidden="false" customHeight="false" outlineLevel="0" collapsed="false">
      <c r="A900" s="80" t="s">
        <v>267</v>
      </c>
      <c r="B900" s="2" t="s">
        <v>201</v>
      </c>
      <c r="C900" s="86" t="n">
        <v>8.06</v>
      </c>
      <c r="D900" s="82" t="n">
        <v>16.3</v>
      </c>
      <c r="E900" s="82" t="n">
        <v>55.8</v>
      </c>
      <c r="F900" s="82" t="n">
        <v>39.06</v>
      </c>
      <c r="G900" s="84" t="n">
        <v>7.36</v>
      </c>
      <c r="H900" s="89" t="n">
        <v>8.03</v>
      </c>
      <c r="I900" s="90" t="n">
        <v>16</v>
      </c>
      <c r="J900" s="83"/>
      <c r="K900" s="92"/>
      <c r="L900" s="90" t="n">
        <v>5.96</v>
      </c>
      <c r="M900" s="84" t="n">
        <v>8.04</v>
      </c>
      <c r="N900" s="82" t="n">
        <v>15.8</v>
      </c>
      <c r="O900" s="83"/>
      <c r="P900" s="83"/>
      <c r="Q900" s="82" t="n">
        <v>5.87</v>
      </c>
      <c r="R900" s="82" t="n">
        <v>8.03</v>
      </c>
      <c r="S900" s="82" t="n">
        <v>15.7</v>
      </c>
      <c r="T900" s="83"/>
      <c r="U900" s="92"/>
      <c r="V900" s="84" t="n">
        <v>0.33</v>
      </c>
      <c r="W900" s="84" t="n">
        <v>8.02</v>
      </c>
      <c r="X900" s="82" t="n">
        <v>15.6</v>
      </c>
      <c r="Y900" s="83"/>
      <c r="Z900" s="83"/>
      <c r="AA900" s="84" t="n">
        <v>0.19</v>
      </c>
      <c r="AB900" s="82" t="n">
        <v>8.06</v>
      </c>
      <c r="AC900" s="82" t="n">
        <v>15.9</v>
      </c>
      <c r="AD900" s="93" t="n">
        <v>55.8</v>
      </c>
      <c r="AE900" s="82" t="n">
        <v>39.06</v>
      </c>
      <c r="AF900" s="85"/>
      <c r="AG900" s="58" t="n">
        <v>0</v>
      </c>
      <c r="AH900" s="85"/>
      <c r="AI900" s="84" t="n">
        <v>8.05</v>
      </c>
      <c r="AJ900" s="82" t="n">
        <v>15.9</v>
      </c>
      <c r="AK900" s="82" t="n">
        <v>55.7</v>
      </c>
      <c r="AL900" s="82" t="n">
        <v>38.99</v>
      </c>
      <c r="AM900" s="85"/>
      <c r="AN900" s="58" t="n">
        <v>0</v>
      </c>
      <c r="AO900" s="84" t="n">
        <v>6.55</v>
      </c>
      <c r="AP900" s="82" t="n">
        <v>16.3</v>
      </c>
      <c r="AQ900" s="82" t="n">
        <v>289</v>
      </c>
      <c r="AR900" s="90" t="n">
        <v>158.95</v>
      </c>
      <c r="AS900" s="58" t="n">
        <v>0</v>
      </c>
      <c r="AT900" s="84" t="n">
        <v>8.37</v>
      </c>
      <c r="AU900" s="82" t="n">
        <v>17.2</v>
      </c>
      <c r="AV900" s="90" t="n">
        <v>384</v>
      </c>
      <c r="AW900" s="90" t="n">
        <v>211.2</v>
      </c>
      <c r="AX900" s="82" t="n">
        <v>1.1</v>
      </c>
      <c r="AY900" s="58" t="n">
        <v>0</v>
      </c>
    </row>
    <row r="901" customFormat="false" ht="16.15" hidden="false" customHeight="false" outlineLevel="0" collapsed="false">
      <c r="A901" s="80" t="s">
        <v>267</v>
      </c>
      <c r="B901" s="2" t="s">
        <v>258</v>
      </c>
      <c r="C901" s="86" t="n">
        <v>8.08</v>
      </c>
      <c r="D901" s="82" t="n">
        <v>17.2</v>
      </c>
      <c r="E901" s="82" t="n">
        <v>55.7</v>
      </c>
      <c r="F901" s="82" t="n">
        <v>38.99</v>
      </c>
      <c r="G901" s="84" t="n">
        <v>10.1</v>
      </c>
      <c r="H901" s="84" t="n">
        <v>8.02</v>
      </c>
      <c r="I901" s="82" t="n">
        <v>15.7</v>
      </c>
      <c r="J901" s="83"/>
      <c r="K901" s="83"/>
      <c r="L901" s="82" t="n">
        <v>3.34</v>
      </c>
      <c r="M901" s="84" t="n">
        <v>8.01</v>
      </c>
      <c r="N901" s="82" t="n">
        <v>15.7</v>
      </c>
      <c r="O901" s="83"/>
      <c r="P901" s="83"/>
      <c r="Q901" s="82" t="n">
        <v>3.3</v>
      </c>
      <c r="R901" s="84" t="n">
        <v>7.98</v>
      </c>
      <c r="S901" s="82" t="n">
        <v>15.8</v>
      </c>
      <c r="T901" s="83"/>
      <c r="U901" s="83"/>
      <c r="V901" s="84" t="n">
        <v>0.18</v>
      </c>
      <c r="W901" s="84" t="n">
        <v>7.97</v>
      </c>
      <c r="X901" s="82" t="n">
        <v>15.7</v>
      </c>
      <c r="Y901" s="83"/>
      <c r="Z901" s="83"/>
      <c r="AA901" s="84" t="n">
        <v>0.15</v>
      </c>
      <c r="AB901" s="84" t="n">
        <v>8.08</v>
      </c>
      <c r="AC901" s="82" t="n">
        <v>16.1</v>
      </c>
      <c r="AD901" s="82" t="n">
        <v>55.7</v>
      </c>
      <c r="AE901" s="82" t="n">
        <v>38.99</v>
      </c>
      <c r="AF901" s="85"/>
      <c r="AG901" s="84" t="n">
        <v>0.01</v>
      </c>
      <c r="AH901" s="85"/>
      <c r="AI901" s="84" t="n">
        <v>8.07</v>
      </c>
      <c r="AJ901" s="82" t="n">
        <v>16.1</v>
      </c>
      <c r="AK901" s="82" t="n">
        <v>55.7</v>
      </c>
      <c r="AL901" s="82" t="n">
        <v>38.99</v>
      </c>
      <c r="AM901" s="85"/>
      <c r="AN901" s="84" t="n">
        <v>0.01</v>
      </c>
      <c r="AO901" s="84" t="n">
        <v>6.63</v>
      </c>
      <c r="AP901" s="82" t="n">
        <v>16.6</v>
      </c>
      <c r="AQ901" s="82" t="n">
        <v>267</v>
      </c>
      <c r="AR901" s="90" t="n">
        <v>146.85</v>
      </c>
      <c r="AS901" s="84" t="n">
        <v>0.01</v>
      </c>
      <c r="AT901" s="84" t="n">
        <v>8.21</v>
      </c>
      <c r="AU901" s="82" t="n">
        <v>17</v>
      </c>
      <c r="AV901" s="82" t="n">
        <v>390</v>
      </c>
      <c r="AW901" s="90" t="n">
        <v>214.5</v>
      </c>
      <c r="AX901" s="82" t="n">
        <v>1</v>
      </c>
      <c r="AY901" s="84" t="n">
        <v>0.01</v>
      </c>
    </row>
    <row r="902" customFormat="false" ht="16.15" hidden="false" customHeight="false" outlineLevel="0" collapsed="false">
      <c r="A902" s="80" t="s">
        <v>268</v>
      </c>
      <c r="B902" s="2" t="s">
        <v>51</v>
      </c>
      <c r="C902" s="81" t="n">
        <v>8.14</v>
      </c>
      <c r="D902" s="82" t="n">
        <v>16.5</v>
      </c>
      <c r="E902" s="82" t="n">
        <v>55.4</v>
      </c>
      <c r="F902" s="82" t="n">
        <v>38.78</v>
      </c>
      <c r="G902" s="82" t="n">
        <v>4.34</v>
      </c>
      <c r="H902" s="82" t="n">
        <v>8.09</v>
      </c>
      <c r="I902" s="82" t="n">
        <v>16.1</v>
      </c>
      <c r="J902" s="83"/>
      <c r="K902" s="83"/>
      <c r="L902" s="82" t="n">
        <v>3.86</v>
      </c>
      <c r="M902" s="82" t="n">
        <v>8.09</v>
      </c>
      <c r="N902" s="82" t="n">
        <v>16.1</v>
      </c>
      <c r="O902" s="83"/>
      <c r="P902" s="83"/>
      <c r="Q902" s="82" t="n">
        <v>3.22</v>
      </c>
      <c r="R902" s="82" t="n">
        <v>8.1</v>
      </c>
      <c r="S902" s="82" t="n">
        <v>16</v>
      </c>
      <c r="T902" s="83"/>
      <c r="U902" s="83"/>
      <c r="V902" s="58" t="n">
        <v>0</v>
      </c>
      <c r="W902" s="82" t="n">
        <v>8.1</v>
      </c>
      <c r="X902" s="82" t="n">
        <v>16</v>
      </c>
      <c r="Y902" s="83"/>
      <c r="Z902" s="83"/>
      <c r="AA902" s="58" t="n">
        <v>0</v>
      </c>
      <c r="AB902" s="82" t="n">
        <v>8.08</v>
      </c>
      <c r="AC902" s="82" t="n">
        <v>16</v>
      </c>
      <c r="AD902" s="93" t="n">
        <v>55.4</v>
      </c>
      <c r="AE902" s="82" t="n">
        <v>38.78</v>
      </c>
      <c r="AF902" s="85"/>
      <c r="AG902" s="58" t="n">
        <v>0</v>
      </c>
      <c r="AH902" s="85"/>
      <c r="AI902" s="82" t="n">
        <v>8.08</v>
      </c>
      <c r="AJ902" s="82" t="n">
        <v>16</v>
      </c>
      <c r="AK902" s="82" t="n">
        <v>55.4</v>
      </c>
      <c r="AL902" s="82" t="n">
        <v>38.78</v>
      </c>
      <c r="AM902" s="85"/>
      <c r="AN902" s="58" t="n">
        <v>0</v>
      </c>
      <c r="AO902" s="82" t="n">
        <v>6.72</v>
      </c>
      <c r="AP902" s="82" t="n">
        <v>16.4</v>
      </c>
      <c r="AQ902" s="82" t="n">
        <v>260</v>
      </c>
      <c r="AR902" s="90" t="n">
        <v>143</v>
      </c>
      <c r="AS902" s="58" t="n">
        <v>0</v>
      </c>
      <c r="AT902" s="90" t="n">
        <v>8.34</v>
      </c>
      <c r="AU902" s="90" t="n">
        <v>16.9</v>
      </c>
      <c r="AV902" s="90" t="n">
        <v>540</v>
      </c>
      <c r="AW902" s="90" t="n">
        <v>297</v>
      </c>
      <c r="AX902" s="90" t="n">
        <v>1.1</v>
      </c>
      <c r="AY902" s="89" t="n">
        <v>0.9</v>
      </c>
    </row>
    <row r="903" customFormat="false" ht="16.15" hidden="false" customHeight="false" outlineLevel="0" collapsed="false">
      <c r="A903" s="80" t="s">
        <v>268</v>
      </c>
      <c r="B903" s="2" t="s">
        <v>201</v>
      </c>
      <c r="C903" s="86" t="n">
        <v>8.1</v>
      </c>
      <c r="D903" s="82" t="n">
        <v>17</v>
      </c>
      <c r="E903" s="82" t="n">
        <v>55.9</v>
      </c>
      <c r="F903" s="82" t="n">
        <v>39.13</v>
      </c>
      <c r="G903" s="84" t="n">
        <v>5.29</v>
      </c>
      <c r="H903" s="89" t="n">
        <v>8.09</v>
      </c>
      <c r="I903" s="90" t="n">
        <v>16.3</v>
      </c>
      <c r="J903" s="83"/>
      <c r="K903" s="92"/>
      <c r="L903" s="90" t="n">
        <v>4.32</v>
      </c>
      <c r="M903" s="84" t="n">
        <v>8.09</v>
      </c>
      <c r="N903" s="82" t="n">
        <v>16.3</v>
      </c>
      <c r="O903" s="83"/>
      <c r="P903" s="83"/>
      <c r="Q903" s="82" t="n">
        <v>4.82</v>
      </c>
      <c r="R903" s="82" t="n">
        <v>8.06</v>
      </c>
      <c r="S903" s="82" t="n">
        <v>16.3</v>
      </c>
      <c r="T903" s="83"/>
      <c r="U903" s="92"/>
      <c r="V903" s="58" t="n">
        <v>0</v>
      </c>
      <c r="W903" s="84" t="n">
        <v>8.06</v>
      </c>
      <c r="X903" s="82" t="n">
        <v>16.3</v>
      </c>
      <c r="Y903" s="83"/>
      <c r="Z903" s="83"/>
      <c r="AA903" s="58" t="n">
        <v>0</v>
      </c>
      <c r="AB903" s="82" t="n">
        <v>8.04</v>
      </c>
      <c r="AC903" s="82" t="n">
        <v>16.6</v>
      </c>
      <c r="AD903" s="93" t="n">
        <v>55.8</v>
      </c>
      <c r="AE903" s="82" t="n">
        <v>39.06</v>
      </c>
      <c r="AF903" s="85"/>
      <c r="AG903" s="58" t="n">
        <v>0</v>
      </c>
      <c r="AH903" s="85"/>
      <c r="AI903" s="84" t="n">
        <v>8.04</v>
      </c>
      <c r="AJ903" s="82" t="n">
        <v>16.6</v>
      </c>
      <c r="AK903" s="82" t="n">
        <v>55.8</v>
      </c>
      <c r="AL903" s="82" t="n">
        <v>39.06</v>
      </c>
      <c r="AM903" s="85"/>
      <c r="AN903" s="58" t="n">
        <v>0</v>
      </c>
      <c r="AO903" s="84" t="n">
        <v>6.75</v>
      </c>
      <c r="AP903" s="82" t="n">
        <v>16.7</v>
      </c>
      <c r="AQ903" s="82" t="n">
        <v>282</v>
      </c>
      <c r="AR903" s="90" t="n">
        <v>155.1</v>
      </c>
      <c r="AS903" s="58" t="n">
        <v>0</v>
      </c>
      <c r="AT903" s="84" t="n">
        <v>8.19</v>
      </c>
      <c r="AU903" s="82" t="n">
        <v>17.1</v>
      </c>
      <c r="AV903" s="90" t="n">
        <v>509</v>
      </c>
      <c r="AW903" s="90" t="n">
        <v>279.95</v>
      </c>
      <c r="AX903" s="82" t="n">
        <v>1.2</v>
      </c>
      <c r="AY903" s="58" t="n">
        <v>0</v>
      </c>
    </row>
    <row r="904" customFormat="false" ht="16.15" hidden="false" customHeight="false" outlineLevel="0" collapsed="false">
      <c r="A904" s="80" t="s">
        <v>268</v>
      </c>
      <c r="B904" s="2" t="s">
        <v>258</v>
      </c>
      <c r="C904" s="86" t="n">
        <v>8.1</v>
      </c>
      <c r="D904" s="82" t="n">
        <v>19.1</v>
      </c>
      <c r="E904" s="82" t="n">
        <v>55.9</v>
      </c>
      <c r="F904" s="82" t="n">
        <v>39.13</v>
      </c>
      <c r="G904" s="84" t="n">
        <v>1.85</v>
      </c>
      <c r="H904" s="84" t="n">
        <v>8.08</v>
      </c>
      <c r="I904" s="82" t="n">
        <v>18</v>
      </c>
      <c r="J904" s="83"/>
      <c r="K904" s="83"/>
      <c r="L904" s="82" t="n">
        <v>4.55</v>
      </c>
      <c r="M904" s="84" t="n">
        <v>8.08</v>
      </c>
      <c r="N904" s="82" t="n">
        <v>18</v>
      </c>
      <c r="O904" s="83"/>
      <c r="P904" s="83"/>
      <c r="Q904" s="82" t="n">
        <v>4.22</v>
      </c>
      <c r="R904" s="84" t="n">
        <v>8.07</v>
      </c>
      <c r="S904" s="82" t="n">
        <v>18</v>
      </c>
      <c r="T904" s="83"/>
      <c r="U904" s="83"/>
      <c r="V904" s="58" t="n">
        <v>0</v>
      </c>
      <c r="W904" s="84" t="n">
        <v>8.07</v>
      </c>
      <c r="X904" s="82" t="n">
        <v>18</v>
      </c>
      <c r="Y904" s="83"/>
      <c r="Z904" s="83"/>
      <c r="AA904" s="58" t="n">
        <v>0</v>
      </c>
      <c r="AB904" s="84" t="n">
        <v>8.07</v>
      </c>
      <c r="AC904" s="82" t="n">
        <v>17.3</v>
      </c>
      <c r="AD904" s="82" t="n">
        <v>55.9</v>
      </c>
      <c r="AE904" s="82" t="n">
        <v>39.13</v>
      </c>
      <c r="AF904" s="85"/>
      <c r="AG904" s="58" t="n">
        <v>0</v>
      </c>
      <c r="AH904" s="85"/>
      <c r="AI904" s="84" t="n">
        <v>8.07</v>
      </c>
      <c r="AJ904" s="82" t="n">
        <v>17.3</v>
      </c>
      <c r="AK904" s="82" t="n">
        <v>55.9</v>
      </c>
      <c r="AL904" s="82" t="n">
        <v>39.13</v>
      </c>
      <c r="AM904" s="85"/>
      <c r="AN904" s="58" t="n">
        <v>0</v>
      </c>
      <c r="AO904" s="84" t="n">
        <v>6.86</v>
      </c>
      <c r="AP904" s="82" t="n">
        <v>17.3</v>
      </c>
      <c r="AQ904" s="82" t="n">
        <v>280</v>
      </c>
      <c r="AR904" s="90" t="n">
        <v>154</v>
      </c>
      <c r="AS904" s="58" t="n">
        <v>0</v>
      </c>
      <c r="AT904" s="84" t="n">
        <v>8.23</v>
      </c>
      <c r="AU904" s="82" t="n">
        <v>17.6</v>
      </c>
      <c r="AV904" s="82" t="n">
        <v>443</v>
      </c>
      <c r="AW904" s="90" t="n">
        <v>243.65</v>
      </c>
      <c r="AX904" s="82" t="n">
        <v>1</v>
      </c>
      <c r="AY904" s="58" t="n">
        <v>0</v>
      </c>
    </row>
    <row r="905" customFormat="false" ht="16.15" hidden="false" customHeight="false" outlineLevel="0" collapsed="false">
      <c r="A905" s="80" t="s">
        <v>269</v>
      </c>
      <c r="B905" s="2" t="s">
        <v>51</v>
      </c>
      <c r="C905" s="81" t="n">
        <v>8.17</v>
      </c>
      <c r="D905" s="82" t="n">
        <v>16.3</v>
      </c>
      <c r="E905" s="82" t="n">
        <v>55.4</v>
      </c>
      <c r="F905" s="82" t="n">
        <v>38.78</v>
      </c>
      <c r="G905" s="82" t="n">
        <v>1.82</v>
      </c>
      <c r="H905" s="82" t="n">
        <v>8.12</v>
      </c>
      <c r="I905" s="82" t="n">
        <v>16</v>
      </c>
      <c r="J905" s="83"/>
      <c r="K905" s="83"/>
      <c r="L905" s="82" t="n">
        <v>3.2</v>
      </c>
      <c r="M905" s="82" t="n">
        <v>8.12</v>
      </c>
      <c r="N905" s="82" t="n">
        <v>16</v>
      </c>
      <c r="O905" s="83"/>
      <c r="P905" s="83"/>
      <c r="Q905" s="82" t="n">
        <v>2.99</v>
      </c>
      <c r="R905" s="82" t="n">
        <v>8.1</v>
      </c>
      <c r="S905" s="82" t="n">
        <v>16</v>
      </c>
      <c r="T905" s="83"/>
      <c r="U905" s="83"/>
      <c r="V905" s="58" t="n">
        <v>0</v>
      </c>
      <c r="W905" s="82" t="n">
        <v>8.1</v>
      </c>
      <c r="X905" s="82" t="n">
        <v>16</v>
      </c>
      <c r="Y905" s="83"/>
      <c r="Z905" s="83"/>
      <c r="AA905" s="58" t="n">
        <v>0</v>
      </c>
      <c r="AB905" s="82" t="n">
        <v>8.08</v>
      </c>
      <c r="AC905" s="82" t="n">
        <v>16.1</v>
      </c>
      <c r="AD905" s="93" t="n">
        <v>55.4</v>
      </c>
      <c r="AE905" s="82" t="n">
        <v>38.78</v>
      </c>
      <c r="AF905" s="85"/>
      <c r="AG905" s="58" t="n">
        <v>0</v>
      </c>
      <c r="AH905" s="85"/>
      <c r="AI905" s="82" t="n">
        <v>8.08</v>
      </c>
      <c r="AJ905" s="82" t="n">
        <v>16.1</v>
      </c>
      <c r="AK905" s="82" t="n">
        <v>55.4</v>
      </c>
      <c r="AL905" s="82" t="n">
        <v>38.78</v>
      </c>
      <c r="AM905" s="85"/>
      <c r="AN905" s="58" t="n">
        <v>0</v>
      </c>
      <c r="AO905" s="82" t="n">
        <v>6.77</v>
      </c>
      <c r="AP905" s="82" t="n">
        <v>16.4</v>
      </c>
      <c r="AQ905" s="82" t="n">
        <v>276</v>
      </c>
      <c r="AR905" s="90" t="n">
        <v>151.8</v>
      </c>
      <c r="AS905" s="58" t="n">
        <v>0</v>
      </c>
      <c r="AT905" s="90" t="n">
        <v>8.46</v>
      </c>
      <c r="AU905" s="90" t="n">
        <v>17</v>
      </c>
      <c r="AV905" s="90" t="n">
        <v>410</v>
      </c>
      <c r="AW905" s="90" t="n">
        <v>225.5</v>
      </c>
      <c r="AX905" s="90" t="n">
        <v>1.1</v>
      </c>
      <c r="AY905" s="89" t="n">
        <v>0.62</v>
      </c>
    </row>
    <row r="906" customFormat="false" ht="16.15" hidden="false" customHeight="false" outlineLevel="0" collapsed="false">
      <c r="A906" s="80" t="s">
        <v>269</v>
      </c>
      <c r="B906" s="2" t="s">
        <v>201</v>
      </c>
      <c r="C906" s="86" t="n">
        <v>8.19</v>
      </c>
      <c r="D906" s="82" t="n">
        <v>17.1</v>
      </c>
      <c r="E906" s="82" t="n">
        <v>55.5</v>
      </c>
      <c r="F906" s="82" t="n">
        <v>38.85</v>
      </c>
      <c r="G906" s="84" t="n">
        <v>2.64</v>
      </c>
      <c r="H906" s="89" t="n">
        <v>8.18</v>
      </c>
      <c r="I906" s="90" t="n">
        <v>16.3</v>
      </c>
      <c r="J906" s="83"/>
      <c r="K906" s="92"/>
      <c r="L906" s="90" t="n">
        <v>2.28</v>
      </c>
      <c r="M906" s="84" t="n">
        <v>8.17</v>
      </c>
      <c r="N906" s="82" t="n">
        <v>16.3</v>
      </c>
      <c r="O906" s="83"/>
      <c r="P906" s="83"/>
      <c r="Q906" s="82" t="n">
        <v>2.01</v>
      </c>
      <c r="R906" s="82" t="n">
        <v>8.09</v>
      </c>
      <c r="S906" s="82" t="n">
        <v>16.4</v>
      </c>
      <c r="T906" s="83"/>
      <c r="U906" s="92"/>
      <c r="V906" s="58" t="n">
        <v>0</v>
      </c>
      <c r="W906" s="84" t="n">
        <v>8.09</v>
      </c>
      <c r="X906" s="82" t="n">
        <v>16.4</v>
      </c>
      <c r="Y906" s="83"/>
      <c r="Z906" s="83"/>
      <c r="AA906" s="58" t="n">
        <v>0</v>
      </c>
      <c r="AB906" s="82" t="n">
        <v>8.14</v>
      </c>
      <c r="AC906" s="82" t="n">
        <v>16.4</v>
      </c>
      <c r="AD906" s="93" t="n">
        <v>55.4</v>
      </c>
      <c r="AE906" s="82" t="n">
        <v>38.78</v>
      </c>
      <c r="AF906" s="85"/>
      <c r="AG906" s="58" t="n">
        <v>0</v>
      </c>
      <c r="AH906" s="85"/>
      <c r="AI906" s="84" t="n">
        <v>8.18</v>
      </c>
      <c r="AJ906" s="82" t="n">
        <v>16.4</v>
      </c>
      <c r="AK906" s="82" t="n">
        <v>55.4</v>
      </c>
      <c r="AL906" s="82" t="n">
        <v>38.78</v>
      </c>
      <c r="AM906" s="85"/>
      <c r="AN906" s="58" t="n">
        <v>0</v>
      </c>
      <c r="AO906" s="84" t="n">
        <v>6.83</v>
      </c>
      <c r="AP906" s="82" t="n">
        <v>16.9</v>
      </c>
      <c r="AQ906" s="82" t="n">
        <v>300</v>
      </c>
      <c r="AR906" s="90" t="n">
        <v>165</v>
      </c>
      <c r="AS906" s="58" t="n">
        <v>0</v>
      </c>
      <c r="AT906" s="84" t="n">
        <v>8.47</v>
      </c>
      <c r="AU906" s="82" t="n">
        <v>17.5</v>
      </c>
      <c r="AV906" s="90" t="n">
        <v>392</v>
      </c>
      <c r="AW906" s="90" t="n">
        <v>215.6</v>
      </c>
      <c r="AX906" s="82" t="n">
        <v>1</v>
      </c>
      <c r="AY906" s="58" t="n">
        <v>0.07</v>
      </c>
    </row>
    <row r="907" customFormat="false" ht="16.15" hidden="false" customHeight="false" outlineLevel="0" collapsed="false">
      <c r="A907" s="80" t="s">
        <v>269</v>
      </c>
      <c r="B907" s="2" t="s">
        <v>258</v>
      </c>
      <c r="C907" s="86" t="n">
        <v>8.14</v>
      </c>
      <c r="D907" s="82" t="n">
        <v>20.1</v>
      </c>
      <c r="E907" s="82" t="n">
        <v>55.9</v>
      </c>
      <c r="F907" s="82" t="n">
        <v>39.13</v>
      </c>
      <c r="G907" s="84" t="n">
        <v>1.31</v>
      </c>
      <c r="H907" s="84" t="n">
        <v>8.04</v>
      </c>
      <c r="I907" s="82" t="n">
        <v>17.8</v>
      </c>
      <c r="J907" s="83"/>
      <c r="K907" s="83"/>
      <c r="L907" s="82" t="n">
        <v>2.18</v>
      </c>
      <c r="M907" s="84" t="n">
        <v>8.03</v>
      </c>
      <c r="N907" s="82" t="n">
        <v>17.8</v>
      </c>
      <c r="O907" s="83"/>
      <c r="P907" s="83"/>
      <c r="Q907" s="82" t="n">
        <v>2</v>
      </c>
      <c r="R907" s="84" t="n">
        <v>8.09</v>
      </c>
      <c r="S907" s="82" t="n">
        <v>17.7</v>
      </c>
      <c r="T907" s="83"/>
      <c r="U907" s="83"/>
      <c r="V907" s="58" t="n">
        <v>0</v>
      </c>
      <c r="W907" s="84" t="n">
        <v>8.08</v>
      </c>
      <c r="X907" s="82" t="n">
        <v>17.7</v>
      </c>
      <c r="Y907" s="83"/>
      <c r="Z907" s="83"/>
      <c r="AA907" s="58" t="n">
        <v>0</v>
      </c>
      <c r="AB907" s="84" t="n">
        <v>8.08</v>
      </c>
      <c r="AC907" s="82" t="n">
        <v>17.1</v>
      </c>
      <c r="AD907" s="82" t="n">
        <v>55.5</v>
      </c>
      <c r="AE907" s="82" t="n">
        <v>38.85</v>
      </c>
      <c r="AF907" s="85"/>
      <c r="AG907" s="58" t="n">
        <v>0</v>
      </c>
      <c r="AH907" s="85"/>
      <c r="AI907" s="84" t="n">
        <v>8.08</v>
      </c>
      <c r="AJ907" s="82" t="n">
        <v>17.2</v>
      </c>
      <c r="AK907" s="82" t="n">
        <v>55.5</v>
      </c>
      <c r="AL907" s="82" t="n">
        <v>38.85</v>
      </c>
      <c r="AM907" s="85"/>
      <c r="AN907" s="58" t="n">
        <v>0</v>
      </c>
      <c r="AO907" s="84" t="n">
        <v>6.39</v>
      </c>
      <c r="AP907" s="82" t="n">
        <v>17.3</v>
      </c>
      <c r="AQ907" s="82" t="n">
        <v>241</v>
      </c>
      <c r="AR907" s="90" t="n">
        <v>132.55</v>
      </c>
      <c r="AS907" s="58" t="n">
        <v>0</v>
      </c>
      <c r="AT907" s="84" t="n">
        <v>8.36</v>
      </c>
      <c r="AU907" s="82" t="n">
        <v>17.7</v>
      </c>
      <c r="AV907" s="82" t="n">
        <v>395</v>
      </c>
      <c r="AW907" s="82" t="n">
        <v>217.25</v>
      </c>
      <c r="AX907" s="82" t="n">
        <v>1</v>
      </c>
      <c r="AY907" s="58" t="n">
        <v>0</v>
      </c>
    </row>
    <row r="908" customFormat="false" ht="16.15" hidden="false" customHeight="false" outlineLevel="0" collapsed="false">
      <c r="A908" s="80" t="s">
        <v>270</v>
      </c>
      <c r="B908" s="2" t="s">
        <v>51</v>
      </c>
      <c r="C908" s="81" t="n">
        <v>8.1</v>
      </c>
      <c r="D908" s="82" t="n">
        <v>17.6</v>
      </c>
      <c r="E908" s="82" t="n">
        <v>54.9</v>
      </c>
      <c r="F908" s="82" t="n">
        <v>38.43</v>
      </c>
      <c r="G908" s="82" t="n">
        <v>0.4</v>
      </c>
      <c r="H908" s="82" t="n">
        <v>8.08</v>
      </c>
      <c r="I908" s="82" t="n">
        <v>16.4</v>
      </c>
      <c r="J908" s="83"/>
      <c r="K908" s="83"/>
      <c r="L908" s="82" t="n">
        <v>2.4</v>
      </c>
      <c r="M908" s="82" t="n">
        <v>8.07</v>
      </c>
      <c r="N908" s="82" t="n">
        <v>16.4</v>
      </c>
      <c r="O908" s="83"/>
      <c r="P908" s="83"/>
      <c r="Q908" s="82" t="n">
        <v>2.3</v>
      </c>
      <c r="R908" s="82" t="n">
        <v>8.07</v>
      </c>
      <c r="S908" s="82" t="n">
        <v>16.5</v>
      </c>
      <c r="T908" s="83"/>
      <c r="U908" s="83"/>
      <c r="V908" s="58" t="n">
        <v>0</v>
      </c>
      <c r="W908" s="82" t="n">
        <v>8.01</v>
      </c>
      <c r="X908" s="82" t="n">
        <v>16.5</v>
      </c>
      <c r="Y908" s="83"/>
      <c r="Z908" s="83"/>
      <c r="AA908" s="58" t="n">
        <v>0</v>
      </c>
      <c r="AB908" s="82" t="n">
        <v>8</v>
      </c>
      <c r="AC908" s="82" t="n">
        <v>16.5</v>
      </c>
      <c r="AD908" s="93" t="n">
        <v>54.8</v>
      </c>
      <c r="AE908" s="82" t="n">
        <v>38.36</v>
      </c>
      <c r="AF908" s="85"/>
      <c r="AG908" s="58" t="n">
        <v>0</v>
      </c>
      <c r="AH908" s="85"/>
      <c r="AI908" s="82" t="n">
        <v>6</v>
      </c>
      <c r="AJ908" s="82" t="n">
        <v>16.6</v>
      </c>
      <c r="AK908" s="82" t="n">
        <v>54.8</v>
      </c>
      <c r="AL908" s="82" t="n">
        <v>38.36</v>
      </c>
      <c r="AM908" s="85"/>
      <c r="AN908" s="58" t="n">
        <v>0</v>
      </c>
      <c r="AO908" s="82" t="n">
        <v>6.5</v>
      </c>
      <c r="AP908" s="82" t="n">
        <v>16.7</v>
      </c>
      <c r="AQ908" s="82" t="n">
        <v>380</v>
      </c>
      <c r="AR908" s="90" t="n">
        <v>209</v>
      </c>
      <c r="AS908" s="58" t="n">
        <v>0</v>
      </c>
      <c r="AT908" s="90" t="n">
        <v>8.37</v>
      </c>
      <c r="AU908" s="90" t="n">
        <v>17</v>
      </c>
      <c r="AV908" s="90" t="n">
        <v>387</v>
      </c>
      <c r="AW908" s="90" t="n">
        <v>212.85</v>
      </c>
      <c r="AX908" s="90" t="n">
        <v>1</v>
      </c>
      <c r="AY908" s="89" t="n">
        <v>0.07</v>
      </c>
    </row>
    <row r="909" customFormat="false" ht="16.15" hidden="false" customHeight="false" outlineLevel="0" collapsed="false">
      <c r="A909" s="80" t="s">
        <v>270</v>
      </c>
      <c r="B909" s="2" t="s">
        <v>201</v>
      </c>
      <c r="C909" s="86" t="n">
        <v>8.1</v>
      </c>
      <c r="D909" s="82" t="n">
        <v>17.7</v>
      </c>
      <c r="E909" s="82" t="n">
        <v>54.5</v>
      </c>
      <c r="F909" s="82" t="n">
        <v>38.15</v>
      </c>
      <c r="G909" s="84" t="n">
        <v>0.35</v>
      </c>
      <c r="H909" s="89" t="n">
        <v>8.08</v>
      </c>
      <c r="I909" s="90" t="n">
        <v>16.4</v>
      </c>
      <c r="J909" s="83"/>
      <c r="K909" s="92"/>
      <c r="L909" s="90" t="n">
        <v>2.33</v>
      </c>
      <c r="M909" s="84" t="n">
        <v>8.08</v>
      </c>
      <c r="N909" s="82" t="n">
        <v>16.4</v>
      </c>
      <c r="O909" s="83"/>
      <c r="P909" s="83"/>
      <c r="Q909" s="82" t="n">
        <v>2.21</v>
      </c>
      <c r="R909" s="82" t="n">
        <v>8.07</v>
      </c>
      <c r="S909" s="82" t="n">
        <v>16.5</v>
      </c>
      <c r="T909" s="83"/>
      <c r="U909" s="92"/>
      <c r="V909" s="58" t="n">
        <v>0</v>
      </c>
      <c r="W909" s="84" t="n">
        <v>8.07</v>
      </c>
      <c r="X909" s="82" t="n">
        <v>16.5</v>
      </c>
      <c r="Y909" s="83"/>
      <c r="Z909" s="83"/>
      <c r="AA909" s="58" t="n">
        <v>0</v>
      </c>
      <c r="AB909" s="82" t="n">
        <v>8.06</v>
      </c>
      <c r="AC909" s="82" t="n">
        <v>16.5</v>
      </c>
      <c r="AD909" s="93" t="n">
        <v>54.5</v>
      </c>
      <c r="AE909" s="82" t="n">
        <v>38.15</v>
      </c>
      <c r="AF909" s="85"/>
      <c r="AG909" s="58" t="n">
        <v>0</v>
      </c>
      <c r="AH909" s="85"/>
      <c r="AI909" s="84" t="n">
        <v>8.06</v>
      </c>
      <c r="AJ909" s="82" t="n">
        <v>16.5</v>
      </c>
      <c r="AK909" s="82" t="n">
        <v>54.5</v>
      </c>
      <c r="AL909" s="82" t="n">
        <v>38.15</v>
      </c>
      <c r="AM909" s="85"/>
      <c r="AN909" s="58" t="n">
        <v>0</v>
      </c>
      <c r="AO909" s="84" t="n">
        <v>6.76</v>
      </c>
      <c r="AP909" s="82" t="n">
        <v>16.7</v>
      </c>
      <c r="AQ909" s="82" t="n">
        <v>350</v>
      </c>
      <c r="AR909" s="90" t="n">
        <v>192.5</v>
      </c>
      <c r="AS909" s="58" t="n">
        <v>0</v>
      </c>
      <c r="AT909" s="84" t="n">
        <v>8.45</v>
      </c>
      <c r="AU909" s="82" t="n">
        <v>17.5</v>
      </c>
      <c r="AV909" s="90" t="n">
        <v>390</v>
      </c>
      <c r="AW909" s="90" t="n">
        <v>214.5</v>
      </c>
      <c r="AX909" s="82" t="n">
        <v>1</v>
      </c>
      <c r="AY909" s="58" t="n">
        <v>0.08</v>
      </c>
    </row>
    <row r="910" customFormat="false" ht="16.15" hidden="false" customHeight="false" outlineLevel="0" collapsed="false">
      <c r="A910" s="80" t="s">
        <v>270</v>
      </c>
      <c r="B910" s="2" t="s">
        <v>258</v>
      </c>
      <c r="C910" s="86" t="n">
        <v>8.06</v>
      </c>
      <c r="D910" s="82" t="n">
        <v>18.5</v>
      </c>
      <c r="E910" s="82" t="n">
        <v>55.4</v>
      </c>
      <c r="F910" s="82" t="n">
        <v>38.78</v>
      </c>
      <c r="G910" s="84" t="n">
        <v>1.59</v>
      </c>
      <c r="H910" s="84" t="n">
        <v>8.1</v>
      </c>
      <c r="I910" s="82" t="n">
        <v>16.8</v>
      </c>
      <c r="J910" s="83"/>
      <c r="K910" s="83"/>
      <c r="L910" s="82" t="n">
        <v>2.32</v>
      </c>
      <c r="M910" s="84" t="n">
        <v>8.1</v>
      </c>
      <c r="N910" s="82" t="n">
        <v>16.8</v>
      </c>
      <c r="O910" s="83"/>
      <c r="P910" s="83"/>
      <c r="Q910" s="82" t="n">
        <v>2.19</v>
      </c>
      <c r="R910" s="84" t="n">
        <v>8.09</v>
      </c>
      <c r="S910" s="82" t="n">
        <v>16.8</v>
      </c>
      <c r="T910" s="83"/>
      <c r="U910" s="83"/>
      <c r="V910" s="58" t="n">
        <v>0</v>
      </c>
      <c r="W910" s="84" t="n">
        <v>8.09</v>
      </c>
      <c r="X910" s="82" t="n">
        <v>16.8</v>
      </c>
      <c r="Y910" s="83"/>
      <c r="Z910" s="83"/>
      <c r="AA910" s="58" t="n">
        <v>0</v>
      </c>
      <c r="AB910" s="84" t="n">
        <v>8.08</v>
      </c>
      <c r="AC910" s="82" t="n">
        <v>16.8</v>
      </c>
      <c r="AD910" s="82" t="n">
        <v>55.6</v>
      </c>
      <c r="AE910" s="82" t="n">
        <v>38.92</v>
      </c>
      <c r="AF910" s="85"/>
      <c r="AG910" s="58" t="n">
        <v>0</v>
      </c>
      <c r="AH910" s="85"/>
      <c r="AI910" s="84" t="n">
        <v>8.08</v>
      </c>
      <c r="AJ910" s="82" t="n">
        <v>16.9</v>
      </c>
      <c r="AK910" s="82" t="n">
        <v>55.6</v>
      </c>
      <c r="AL910" s="82" t="n">
        <v>38.92</v>
      </c>
      <c r="AM910" s="85"/>
      <c r="AN910" s="58" t="n">
        <v>0</v>
      </c>
      <c r="AO910" s="84" t="n">
        <v>6.68</v>
      </c>
      <c r="AP910" s="82" t="n">
        <v>17.5</v>
      </c>
      <c r="AQ910" s="82" t="n">
        <v>269</v>
      </c>
      <c r="AR910" s="90" t="n">
        <v>147.95</v>
      </c>
      <c r="AS910" s="58" t="n">
        <v>0</v>
      </c>
      <c r="AT910" s="84" t="n">
        <v>8.47</v>
      </c>
      <c r="AU910" s="82" t="n">
        <v>17.6</v>
      </c>
      <c r="AV910" s="82" t="n">
        <v>412</v>
      </c>
      <c r="AW910" s="90" t="n">
        <v>226.6</v>
      </c>
      <c r="AX910" s="82" t="n">
        <v>1</v>
      </c>
      <c r="AY910" s="58" t="n">
        <v>0.1</v>
      </c>
    </row>
    <row r="911" customFormat="false" ht="16.15" hidden="false" customHeight="false" outlineLevel="0" collapsed="false">
      <c r="A911" s="80" t="s">
        <v>271</v>
      </c>
      <c r="B911" s="2" t="s">
        <v>51</v>
      </c>
      <c r="C911" s="81" t="n">
        <v>8.11</v>
      </c>
      <c r="D911" s="82" t="n">
        <v>17.1</v>
      </c>
      <c r="E911" s="82" t="n">
        <v>55.8</v>
      </c>
      <c r="F911" s="82" t="n">
        <v>39.06</v>
      </c>
      <c r="G911" s="82" t="n">
        <v>0.3</v>
      </c>
      <c r="H911" s="82" t="n">
        <v>8.08</v>
      </c>
      <c r="I911" s="82" t="n">
        <v>16.5</v>
      </c>
      <c r="J911" s="83"/>
      <c r="K911" s="83"/>
      <c r="L911" s="82" t="n">
        <v>0.96</v>
      </c>
      <c r="M911" s="82" t="n">
        <v>8.07</v>
      </c>
      <c r="N911" s="82" t="n">
        <v>16.5</v>
      </c>
      <c r="O911" s="83"/>
      <c r="P911" s="83"/>
      <c r="Q911" s="82" t="n">
        <v>0.9</v>
      </c>
      <c r="R911" s="82" t="n">
        <v>8.04</v>
      </c>
      <c r="S911" s="82" t="n">
        <v>16.5</v>
      </c>
      <c r="T911" s="83"/>
      <c r="U911" s="83"/>
      <c r="V911" s="58" t="n">
        <v>0.31</v>
      </c>
      <c r="W911" s="82" t="n">
        <v>8.04</v>
      </c>
      <c r="X911" s="82" t="n">
        <v>16.5</v>
      </c>
      <c r="Y911" s="83"/>
      <c r="Z911" s="83"/>
      <c r="AA911" s="58" t="n">
        <v>0.3</v>
      </c>
      <c r="AB911" s="82" t="n">
        <v>8.03</v>
      </c>
      <c r="AC911" s="82" t="n">
        <v>16.4</v>
      </c>
      <c r="AD911" s="93" t="n">
        <v>55.9</v>
      </c>
      <c r="AE911" s="82" t="n">
        <v>39.13</v>
      </c>
      <c r="AF911" s="85"/>
      <c r="AG911" s="58" t="n">
        <v>0</v>
      </c>
      <c r="AH911" s="85"/>
      <c r="AI911" s="82" t="n">
        <v>8.02</v>
      </c>
      <c r="AJ911" s="82" t="n">
        <v>16.4</v>
      </c>
      <c r="AK911" s="82" t="n">
        <v>55.8</v>
      </c>
      <c r="AL911" s="82" t="n">
        <v>39.06</v>
      </c>
      <c r="AM911" s="85"/>
      <c r="AN911" s="58" t="n">
        <v>0</v>
      </c>
      <c r="AO911" s="82" t="n">
        <v>6.5</v>
      </c>
      <c r="AP911" s="82" t="n">
        <v>17</v>
      </c>
      <c r="AQ911" s="82" t="n">
        <v>490</v>
      </c>
      <c r="AR911" s="90" t="n">
        <v>269.5</v>
      </c>
      <c r="AS911" s="58" t="n">
        <v>0</v>
      </c>
      <c r="AT911" s="90" t="n">
        <v>8.47</v>
      </c>
      <c r="AU911" s="90" t="n">
        <v>17.2</v>
      </c>
      <c r="AV911" s="90" t="n">
        <v>394</v>
      </c>
      <c r="AW911" s="90" t="n">
        <v>216.7</v>
      </c>
      <c r="AX911" s="90" t="n">
        <v>1.1</v>
      </c>
      <c r="AY911" s="58" t="n">
        <v>0</v>
      </c>
    </row>
    <row r="912" customFormat="false" ht="16.15" hidden="false" customHeight="false" outlineLevel="0" collapsed="false">
      <c r="A912" s="80" t="s">
        <v>271</v>
      </c>
      <c r="B912" s="2" t="s">
        <v>201</v>
      </c>
      <c r="C912" s="86" t="n">
        <v>8.11</v>
      </c>
      <c r="D912" s="82" t="n">
        <v>16.6</v>
      </c>
      <c r="E912" s="82" t="n">
        <v>55.9</v>
      </c>
      <c r="F912" s="82" t="n">
        <v>30.74</v>
      </c>
      <c r="G912" s="84" t="n">
        <v>0.39</v>
      </c>
      <c r="H912" s="89" t="n">
        <v>8.1</v>
      </c>
      <c r="I912" s="90" t="n">
        <v>16.5</v>
      </c>
      <c r="J912" s="83"/>
      <c r="K912" s="92"/>
      <c r="L912" s="90" t="n">
        <v>1.01</v>
      </c>
      <c r="M912" s="84" t="n">
        <v>8.1</v>
      </c>
      <c r="N912" s="82" t="n">
        <v>16.5</v>
      </c>
      <c r="O912" s="83"/>
      <c r="P912" s="83"/>
      <c r="Q912" s="82" t="n">
        <v>0.96</v>
      </c>
      <c r="R912" s="82" t="n">
        <v>8.08</v>
      </c>
      <c r="S912" s="82" t="n">
        <v>16.5</v>
      </c>
      <c r="T912" s="83"/>
      <c r="U912" s="92"/>
      <c r="V912" s="58" t="n">
        <v>0.28</v>
      </c>
      <c r="W912" s="84" t="n">
        <v>8.08</v>
      </c>
      <c r="X912" s="82" t="n">
        <v>16.5</v>
      </c>
      <c r="Y912" s="83"/>
      <c r="Z912" s="83"/>
      <c r="AA912" s="58" t="n">
        <v>0.22</v>
      </c>
      <c r="AB912" s="82" t="n">
        <v>8.01</v>
      </c>
      <c r="AC912" s="82" t="n">
        <v>16.4</v>
      </c>
      <c r="AD912" s="93" t="n">
        <v>55.2</v>
      </c>
      <c r="AE912" s="82"/>
      <c r="AF912" s="85"/>
      <c r="AG912" s="58" t="n">
        <v>0</v>
      </c>
      <c r="AH912" s="85"/>
      <c r="AI912" s="84" t="n">
        <v>8.02</v>
      </c>
      <c r="AJ912" s="82" t="n">
        <v>16.3</v>
      </c>
      <c r="AK912" s="82" t="n">
        <v>55.3</v>
      </c>
      <c r="AL912" s="82" t="n">
        <v>38.71</v>
      </c>
      <c r="AM912" s="85"/>
      <c r="AN912" s="58" t="n">
        <v>0</v>
      </c>
      <c r="AO912" s="84" t="n">
        <v>6.54</v>
      </c>
      <c r="AP912" s="82" t="n">
        <v>17.1</v>
      </c>
      <c r="AQ912" s="82" t="n">
        <v>286</v>
      </c>
      <c r="AR912" s="90" t="n">
        <v>157.3</v>
      </c>
      <c r="AS912" s="58" t="n">
        <v>0</v>
      </c>
      <c r="AT912" s="84" t="n">
        <v>8.45</v>
      </c>
      <c r="AU912" s="82" t="n">
        <v>17.1</v>
      </c>
      <c r="AV912" s="90" t="n">
        <v>390</v>
      </c>
      <c r="AW912" s="90" t="n">
        <v>214.5</v>
      </c>
      <c r="AX912" s="82" t="n">
        <v>1</v>
      </c>
      <c r="AY912" s="58" t="n">
        <v>0</v>
      </c>
    </row>
    <row r="913" customFormat="false" ht="16.15" hidden="false" customHeight="false" outlineLevel="0" collapsed="false">
      <c r="A913" s="80" t="s">
        <v>271</v>
      </c>
      <c r="B913" s="2" t="s">
        <v>258</v>
      </c>
      <c r="C913" s="86"/>
      <c r="D913" s="82"/>
      <c r="E913" s="82"/>
      <c r="F913" s="82" t="n">
        <v>0</v>
      </c>
      <c r="G913" s="84"/>
      <c r="H913" s="84"/>
      <c r="I913" s="82"/>
      <c r="J913" s="83"/>
      <c r="K913" s="83"/>
      <c r="L913" s="82"/>
      <c r="M913" s="84"/>
      <c r="N913" s="82"/>
      <c r="O913" s="83"/>
      <c r="P913" s="83"/>
      <c r="Q913" s="82"/>
      <c r="R913" s="84"/>
      <c r="S913" s="82"/>
      <c r="T913" s="83"/>
      <c r="U913" s="83"/>
      <c r="V913" s="58" t="n">
        <v>0</v>
      </c>
      <c r="W913" s="84"/>
      <c r="X913" s="82"/>
      <c r="Y913" s="83"/>
      <c r="Z913" s="83"/>
      <c r="AA913" s="58" t="n">
        <v>0</v>
      </c>
      <c r="AB913" s="84"/>
      <c r="AC913" s="82"/>
      <c r="AD913" s="82"/>
      <c r="AE913" s="82" t="n">
        <v>0</v>
      </c>
      <c r="AF913" s="85"/>
      <c r="AG913" s="58" t="n">
        <v>0</v>
      </c>
      <c r="AH913" s="85"/>
      <c r="AI913" s="84"/>
      <c r="AJ913" s="82"/>
      <c r="AK913" s="82"/>
      <c r="AL913" s="82" t="n">
        <v>0</v>
      </c>
      <c r="AM913" s="85"/>
      <c r="AN913" s="58" t="n">
        <v>0</v>
      </c>
      <c r="AO913" s="84"/>
      <c r="AP913" s="82"/>
      <c r="AQ913" s="82"/>
      <c r="AR913" s="90" t="n">
        <v>0</v>
      </c>
      <c r="AS913" s="58" t="n">
        <v>0</v>
      </c>
      <c r="AT913" s="84"/>
      <c r="AU913" s="82"/>
      <c r="AV913" s="82"/>
      <c r="AW913" s="90" t="n">
        <v>0</v>
      </c>
      <c r="AX913" s="82" t="n">
        <v>1</v>
      </c>
      <c r="AY913" s="58"/>
    </row>
    <row r="914" customFormat="false" ht="16.15" hidden="false" customHeight="false" outlineLevel="0" collapsed="false">
      <c r="A914" s="80" t="s">
        <v>272</v>
      </c>
      <c r="B914" s="2" t="s">
        <v>51</v>
      </c>
      <c r="C914" s="81" t="n">
        <v>8.12</v>
      </c>
      <c r="D914" s="82" t="n">
        <v>17.2</v>
      </c>
      <c r="E914" s="82" t="n">
        <v>55.9</v>
      </c>
      <c r="F914" s="82" t="n">
        <v>39.13</v>
      </c>
      <c r="G914" s="82" t="n">
        <v>0.83</v>
      </c>
      <c r="H914" s="82" t="n">
        <v>8.09</v>
      </c>
      <c r="I914" s="82" t="n">
        <v>16.6</v>
      </c>
      <c r="J914" s="83"/>
      <c r="K914" s="83"/>
      <c r="L914" s="82" t="n">
        <v>0.77</v>
      </c>
      <c r="M914" s="82" t="n">
        <v>8.1</v>
      </c>
      <c r="N914" s="82" t="n">
        <v>16.5</v>
      </c>
      <c r="O914" s="83"/>
      <c r="P914" s="83"/>
      <c r="Q914" s="82" t="n">
        <v>0.7</v>
      </c>
      <c r="R914" s="82" t="n">
        <v>8.08</v>
      </c>
      <c r="S914" s="82" t="n">
        <v>16.5</v>
      </c>
      <c r="T914" s="83"/>
      <c r="U914" s="83"/>
      <c r="V914" s="58" t="n">
        <v>0</v>
      </c>
      <c r="W914" s="82" t="n">
        <v>8.07</v>
      </c>
      <c r="X914" s="82" t="n">
        <v>16.5</v>
      </c>
      <c r="Y914" s="83"/>
      <c r="Z914" s="83"/>
      <c r="AA914" s="58" t="n">
        <v>0</v>
      </c>
      <c r="AB914" s="82" t="n">
        <v>8.02</v>
      </c>
      <c r="AC914" s="82" t="n">
        <v>16.3</v>
      </c>
      <c r="AD914" s="93" t="n">
        <v>55.8</v>
      </c>
      <c r="AE914" s="82" t="n">
        <v>39.06</v>
      </c>
      <c r="AF914" s="85"/>
      <c r="AG914" s="58" t="n">
        <v>0</v>
      </c>
      <c r="AH914" s="85"/>
      <c r="AI914" s="82" t="n">
        <v>8.01</v>
      </c>
      <c r="AJ914" s="82" t="n">
        <v>16.3</v>
      </c>
      <c r="AK914" s="82" t="n">
        <v>55.7</v>
      </c>
      <c r="AL914" s="82" t="n">
        <v>38.99</v>
      </c>
      <c r="AM914" s="85"/>
      <c r="AN914" s="58" t="n">
        <v>0</v>
      </c>
      <c r="AO914" s="82" t="n">
        <v>7</v>
      </c>
      <c r="AP914" s="82" t="n">
        <v>17.1</v>
      </c>
      <c r="AQ914" s="82" t="n">
        <v>340</v>
      </c>
      <c r="AR914" s="90" t="n">
        <v>187</v>
      </c>
      <c r="AS914" s="58" t="n">
        <v>0</v>
      </c>
      <c r="AT914" s="90" t="n">
        <v>8.37</v>
      </c>
      <c r="AU914" s="90" t="n">
        <v>17</v>
      </c>
      <c r="AV914" s="90" t="n">
        <v>396</v>
      </c>
      <c r="AW914" s="90" t="n">
        <v>217.8</v>
      </c>
      <c r="AX914" s="90" t="n">
        <v>1.1</v>
      </c>
      <c r="AY914" s="58" t="n">
        <v>0</v>
      </c>
    </row>
    <row r="915" customFormat="false" ht="16.15" hidden="false" customHeight="false" outlineLevel="0" collapsed="false">
      <c r="A915" s="80" t="s">
        <v>272</v>
      </c>
      <c r="B915" s="2" t="s">
        <v>201</v>
      </c>
      <c r="C915" s="86" t="n">
        <v>8.15</v>
      </c>
      <c r="D915" s="82" t="n">
        <v>17.2</v>
      </c>
      <c r="E915" s="82" t="n">
        <v>55.9</v>
      </c>
      <c r="F915" s="82" t="n">
        <v>30.74</v>
      </c>
      <c r="G915" s="84" t="n">
        <v>0.8</v>
      </c>
      <c r="H915" s="89" t="n">
        <v>8.1</v>
      </c>
      <c r="I915" s="90" t="n">
        <v>16.6</v>
      </c>
      <c r="J915" s="83"/>
      <c r="K915" s="92"/>
      <c r="L915" s="90" t="n">
        <v>0.53</v>
      </c>
      <c r="M915" s="84" t="n">
        <v>8.1</v>
      </c>
      <c r="N915" s="82" t="n">
        <v>16.5</v>
      </c>
      <c r="O915" s="83"/>
      <c r="P915" s="83"/>
      <c r="Q915" s="82" t="n">
        <v>0.52</v>
      </c>
      <c r="R915" s="82" t="n">
        <v>8.07</v>
      </c>
      <c r="S915" s="82" t="n">
        <v>16.5</v>
      </c>
      <c r="T915" s="83"/>
      <c r="U915" s="92"/>
      <c r="V915" s="58" t="n">
        <v>0.1</v>
      </c>
      <c r="W915" s="84" t="n">
        <v>8.07</v>
      </c>
      <c r="X915" s="82" t="n">
        <v>16.5</v>
      </c>
      <c r="Y915" s="83"/>
      <c r="Z915" s="83"/>
      <c r="AA915" s="58" t="n">
        <v>0.11</v>
      </c>
      <c r="AB915" s="82" t="n">
        <v>8.05</v>
      </c>
      <c r="AC915" s="82" t="n">
        <v>16.7</v>
      </c>
      <c r="AD915" s="93" t="n">
        <v>55.8</v>
      </c>
      <c r="AE915" s="82"/>
      <c r="AF915" s="85"/>
      <c r="AG915" s="58" t="n">
        <v>0</v>
      </c>
      <c r="AH915" s="85"/>
      <c r="AI915" s="84" t="n">
        <v>8.06</v>
      </c>
      <c r="AJ915" s="82" t="n">
        <v>16.7</v>
      </c>
      <c r="AK915" s="82" t="n">
        <v>55.7</v>
      </c>
      <c r="AL915" s="82" t="n">
        <v>38.99</v>
      </c>
      <c r="AM915" s="85"/>
      <c r="AN915" s="58" t="n">
        <v>0</v>
      </c>
      <c r="AO915" s="84" t="n">
        <v>6.57</v>
      </c>
      <c r="AP915" s="82" t="n">
        <v>17.2</v>
      </c>
      <c r="AQ915" s="82" t="n">
        <v>279</v>
      </c>
      <c r="AR915" s="90" t="n">
        <v>153.45</v>
      </c>
      <c r="AS915" s="58" t="n">
        <v>0</v>
      </c>
      <c r="AT915" s="84" t="n">
        <v>8.39</v>
      </c>
      <c r="AU915" s="82" t="n">
        <v>17.7</v>
      </c>
      <c r="AV915" s="90" t="n">
        <v>394</v>
      </c>
      <c r="AW915" s="90" t="n">
        <v>216.7</v>
      </c>
      <c r="AX915" s="82" t="n">
        <v>1.1</v>
      </c>
      <c r="AY915" s="58" t="n">
        <v>0.01</v>
      </c>
    </row>
    <row r="916" customFormat="false" ht="16.15" hidden="false" customHeight="false" outlineLevel="0" collapsed="false">
      <c r="A916" s="80" t="s">
        <v>272</v>
      </c>
      <c r="B916" s="2" t="s">
        <v>258</v>
      </c>
      <c r="C916" s="86" t="n">
        <v>8.1</v>
      </c>
      <c r="D916" s="82" t="n">
        <v>18.4</v>
      </c>
      <c r="E916" s="82" t="n">
        <v>55.6</v>
      </c>
      <c r="F916" s="82" t="n">
        <v>38.92</v>
      </c>
      <c r="G916" s="84" t="n">
        <v>0.3</v>
      </c>
      <c r="H916" s="84" t="n">
        <v>8.08</v>
      </c>
      <c r="I916" s="82" t="n">
        <v>16.5</v>
      </c>
      <c r="J916" s="83"/>
      <c r="K916" s="83"/>
      <c r="L916" s="82" t="n">
        <v>1.12</v>
      </c>
      <c r="M916" s="84" t="n">
        <v>8.07</v>
      </c>
      <c r="N916" s="82" t="n">
        <v>16.6</v>
      </c>
      <c r="O916" s="83"/>
      <c r="P916" s="83"/>
      <c r="Q916" s="82" t="n">
        <v>1.01</v>
      </c>
      <c r="R916" s="84" t="n">
        <v>8.06</v>
      </c>
      <c r="S916" s="82" t="n">
        <v>16.7</v>
      </c>
      <c r="T916" s="83"/>
      <c r="U916" s="83"/>
      <c r="V916" s="58" t="n">
        <v>0.09</v>
      </c>
      <c r="W916" s="84" t="n">
        <v>8.06</v>
      </c>
      <c r="X916" s="82" t="n">
        <v>16.7</v>
      </c>
      <c r="Y916" s="83"/>
      <c r="Z916" s="83"/>
      <c r="AA916" s="58" t="n">
        <v>0.06</v>
      </c>
      <c r="AB916" s="84" t="n">
        <v>8</v>
      </c>
      <c r="AC916" s="82" t="n">
        <v>16.8</v>
      </c>
      <c r="AD916" s="82" t="n">
        <v>55.4</v>
      </c>
      <c r="AE916" s="82" t="n">
        <v>38.78</v>
      </c>
      <c r="AF916" s="85"/>
      <c r="AG916" s="58" t="n">
        <v>0</v>
      </c>
      <c r="AH916" s="85"/>
      <c r="AI916" s="84" t="n">
        <v>8.01</v>
      </c>
      <c r="AJ916" s="82" t="n">
        <v>16.8</v>
      </c>
      <c r="AK916" s="82" t="n">
        <v>55.5</v>
      </c>
      <c r="AL916" s="82" t="n">
        <v>38.85</v>
      </c>
      <c r="AM916" s="85"/>
      <c r="AN916" s="58" t="n">
        <v>0</v>
      </c>
      <c r="AO916" s="84" t="n">
        <v>6.5</v>
      </c>
      <c r="AP916" s="82" t="n">
        <v>17.2</v>
      </c>
      <c r="AQ916" s="82" t="n">
        <v>277</v>
      </c>
      <c r="AR916" s="90" t="n">
        <v>152.35</v>
      </c>
      <c r="AS916" s="58" t="n">
        <v>0</v>
      </c>
      <c r="AT916" s="84" t="n">
        <v>8.4</v>
      </c>
      <c r="AU916" s="82" t="n">
        <v>17.1</v>
      </c>
      <c r="AV916" s="82" t="n">
        <v>501</v>
      </c>
      <c r="AW916" s="90" t="n">
        <v>275.55</v>
      </c>
      <c r="AX916" s="82" t="n">
        <v>1</v>
      </c>
      <c r="AY916" s="58" t="n">
        <v>0.02</v>
      </c>
    </row>
    <row r="917" customFormat="false" ht="16.15" hidden="false" customHeight="false" outlineLevel="0" collapsed="false">
      <c r="A917" s="80" t="s">
        <v>273</v>
      </c>
      <c r="B917" s="2" t="s">
        <v>51</v>
      </c>
      <c r="C917" s="81" t="n">
        <v>8.11</v>
      </c>
      <c r="D917" s="82" t="n">
        <v>17</v>
      </c>
      <c r="E917" s="82" t="n">
        <v>55.9</v>
      </c>
      <c r="F917" s="82" t="n">
        <v>39.13</v>
      </c>
      <c r="G917" s="82" t="n">
        <v>0.73</v>
      </c>
      <c r="H917" s="82" t="n">
        <v>8.09</v>
      </c>
      <c r="I917" s="82" t="n">
        <v>16.5</v>
      </c>
      <c r="J917" s="83"/>
      <c r="K917" s="83"/>
      <c r="L917" s="82" t="n">
        <v>0.62</v>
      </c>
      <c r="M917" s="82" t="n">
        <v>8.09</v>
      </c>
      <c r="N917" s="82" t="n">
        <v>16.5</v>
      </c>
      <c r="O917" s="83"/>
      <c r="P917" s="83"/>
      <c r="Q917" s="82" t="n">
        <v>0.55</v>
      </c>
      <c r="R917" s="82" t="n">
        <v>8.08</v>
      </c>
      <c r="S917" s="82" t="n">
        <v>16.5</v>
      </c>
      <c r="T917" s="83"/>
      <c r="U917" s="83"/>
      <c r="V917" s="58" t="n">
        <v>0</v>
      </c>
      <c r="W917" s="82" t="n">
        <v>8.08</v>
      </c>
      <c r="X917" s="82" t="n">
        <v>16.5</v>
      </c>
      <c r="Y917" s="83"/>
      <c r="Z917" s="83"/>
      <c r="AA917" s="58" t="n">
        <v>0</v>
      </c>
      <c r="AB917" s="82" t="n">
        <v>8.08</v>
      </c>
      <c r="AC917" s="82" t="n">
        <v>16.3</v>
      </c>
      <c r="AD917" s="93" t="n">
        <v>55.8</v>
      </c>
      <c r="AE917" s="82" t="n">
        <v>39.06</v>
      </c>
      <c r="AF917" s="85"/>
      <c r="AG917" s="58" t="n">
        <v>0</v>
      </c>
      <c r="AH917" s="85"/>
      <c r="AI917" s="82" t="n">
        <v>8.08</v>
      </c>
      <c r="AJ917" s="82" t="n">
        <v>16.3</v>
      </c>
      <c r="AK917" s="82" t="n">
        <v>55.7</v>
      </c>
      <c r="AL917" s="82" t="n">
        <v>38.99</v>
      </c>
      <c r="AM917" s="85"/>
      <c r="AN917" s="58" t="n">
        <v>0</v>
      </c>
      <c r="AO917" s="82" t="n">
        <v>7</v>
      </c>
      <c r="AP917" s="82" t="n">
        <v>16.5</v>
      </c>
      <c r="AQ917" s="82" t="n">
        <v>300</v>
      </c>
      <c r="AR917" s="90" t="n">
        <v>165</v>
      </c>
      <c r="AS917" s="58" t="n">
        <v>0</v>
      </c>
      <c r="AT917" s="90" t="n">
        <v>8.35</v>
      </c>
      <c r="AU917" s="90" t="n">
        <v>17.2</v>
      </c>
      <c r="AV917" s="90" t="n">
        <v>395</v>
      </c>
      <c r="AW917" s="90" t="n">
        <v>217.25</v>
      </c>
      <c r="AX917" s="90" t="n">
        <v>1</v>
      </c>
      <c r="AY917" s="58" t="n">
        <v>0.08</v>
      </c>
    </row>
    <row r="918" customFormat="false" ht="16.15" hidden="false" customHeight="false" outlineLevel="0" collapsed="false">
      <c r="A918" s="80" t="s">
        <v>273</v>
      </c>
      <c r="B918" s="2" t="s">
        <v>201</v>
      </c>
      <c r="C918" s="86" t="n">
        <v>8.27</v>
      </c>
      <c r="D918" s="82" t="n">
        <v>17.1</v>
      </c>
      <c r="E918" s="82" t="n">
        <v>55.8</v>
      </c>
      <c r="F918" s="82" t="n">
        <v>39.06</v>
      </c>
      <c r="G918" s="84" t="n">
        <v>1.44</v>
      </c>
      <c r="H918" s="89" t="n">
        <v>8.16</v>
      </c>
      <c r="I918" s="90" t="n">
        <v>16.7</v>
      </c>
      <c r="J918" s="83"/>
      <c r="K918" s="92"/>
      <c r="L918" s="90" t="n">
        <v>1.15</v>
      </c>
      <c r="M918" s="84" t="n">
        <v>8.18</v>
      </c>
      <c r="N918" s="82" t="n">
        <v>16.4</v>
      </c>
      <c r="O918" s="83"/>
      <c r="P918" s="83"/>
      <c r="Q918" s="82" t="n">
        <v>1.15</v>
      </c>
      <c r="R918" s="82" t="n">
        <v>8.19</v>
      </c>
      <c r="S918" s="82" t="n">
        <v>16.4</v>
      </c>
      <c r="T918" s="83"/>
      <c r="U918" s="92"/>
      <c r="V918" s="58" t="n">
        <v>0</v>
      </c>
      <c r="W918" s="84" t="n">
        <v>8.21</v>
      </c>
      <c r="X918" s="82" t="n">
        <v>16.6</v>
      </c>
      <c r="Y918" s="83"/>
      <c r="Z918" s="83"/>
      <c r="AA918" s="58" t="n">
        <v>0</v>
      </c>
      <c r="AB918" s="82" t="n">
        <v>8.21</v>
      </c>
      <c r="AC918" s="82" t="n">
        <v>16.7</v>
      </c>
      <c r="AD918" s="93" t="n">
        <v>55.6</v>
      </c>
      <c r="AE918" s="82" t="n">
        <v>38.92</v>
      </c>
      <c r="AF918" s="85"/>
      <c r="AG918" s="58" t="n">
        <v>0</v>
      </c>
      <c r="AH918" s="85"/>
      <c r="AI918" s="84" t="n">
        <v>8.24</v>
      </c>
      <c r="AJ918" s="82" t="n">
        <v>16.6</v>
      </c>
      <c r="AK918" s="82" t="n">
        <v>55.7</v>
      </c>
      <c r="AL918" s="82" t="n">
        <v>38.99</v>
      </c>
      <c r="AM918" s="85"/>
      <c r="AN918" s="58" t="n">
        <v>0</v>
      </c>
      <c r="AO918" s="84" t="n">
        <v>6.37</v>
      </c>
      <c r="AP918" s="82" t="n">
        <v>16.9</v>
      </c>
      <c r="AQ918" s="82" t="n">
        <v>284</v>
      </c>
      <c r="AR918" s="90" t="n">
        <v>156.2</v>
      </c>
      <c r="AS918" s="58" t="n">
        <v>0</v>
      </c>
      <c r="AT918" s="84" t="n">
        <v>8.38</v>
      </c>
      <c r="AU918" s="82" t="n">
        <v>17.3</v>
      </c>
      <c r="AV918" s="90" t="n">
        <v>419</v>
      </c>
      <c r="AW918" s="90" t="n">
        <v>230.45</v>
      </c>
      <c r="AX918" s="82" t="n">
        <v>1</v>
      </c>
      <c r="AY918" s="58" t="n">
        <v>0.03</v>
      </c>
    </row>
    <row r="919" customFormat="false" ht="16.15" hidden="false" customHeight="false" outlineLevel="0" collapsed="false">
      <c r="A919" s="80" t="s">
        <v>273</v>
      </c>
      <c r="B919" s="2" t="s">
        <v>258</v>
      </c>
      <c r="C919" s="86" t="n">
        <v>8.13</v>
      </c>
      <c r="D919" s="82" t="n">
        <v>18.6</v>
      </c>
      <c r="E919" s="82" t="n">
        <v>55.6</v>
      </c>
      <c r="F919" s="82" t="n">
        <v>38.92</v>
      </c>
      <c r="G919" s="84" t="n">
        <v>0.41</v>
      </c>
      <c r="H919" s="84" t="n">
        <v>8.16</v>
      </c>
      <c r="I919" s="82" t="n">
        <v>17</v>
      </c>
      <c r="J919" s="83"/>
      <c r="K919" s="83"/>
      <c r="L919" s="82" t="n">
        <v>1.66</v>
      </c>
      <c r="M919" s="84" t="n">
        <v>8.19</v>
      </c>
      <c r="N919" s="82" t="n">
        <v>17.2</v>
      </c>
      <c r="O919" s="83"/>
      <c r="P919" s="83"/>
      <c r="Q919" s="82" t="n">
        <v>0.63</v>
      </c>
      <c r="R919" s="84" t="n">
        <v>8.2</v>
      </c>
      <c r="S919" s="82" t="n">
        <v>17.4</v>
      </c>
      <c r="T919" s="83"/>
      <c r="U919" s="83"/>
      <c r="V919" s="58" t="n">
        <v>0</v>
      </c>
      <c r="W919" s="84" t="n">
        <v>8.2</v>
      </c>
      <c r="X919" s="82" t="n">
        <v>17.4</v>
      </c>
      <c r="Y919" s="83"/>
      <c r="Z919" s="83"/>
      <c r="AA919" s="58" t="n">
        <v>0</v>
      </c>
      <c r="AB919" s="84" t="n">
        <v>8.21</v>
      </c>
      <c r="AC919" s="82" t="n">
        <v>17.1</v>
      </c>
      <c r="AD919" s="82" t="n">
        <v>55.6</v>
      </c>
      <c r="AE919" s="82" t="n">
        <v>38.92</v>
      </c>
      <c r="AF919" s="85"/>
      <c r="AG919" s="58" t="n">
        <v>0</v>
      </c>
      <c r="AH919" s="85"/>
      <c r="AI919" s="84" t="n">
        <v>8.22</v>
      </c>
      <c r="AJ919" s="82" t="n">
        <v>17.1</v>
      </c>
      <c r="AK919" s="82" t="n">
        <v>22.6</v>
      </c>
      <c r="AL919" s="82" t="n">
        <v>15.82</v>
      </c>
      <c r="AM919" s="85"/>
      <c r="AN919" s="58" t="n">
        <v>0</v>
      </c>
      <c r="AO919" s="84" t="n">
        <v>6.59</v>
      </c>
      <c r="AP919" s="82" t="n">
        <v>17.5</v>
      </c>
      <c r="AQ919" s="82" t="n">
        <v>272</v>
      </c>
      <c r="AR919" s="90" t="n">
        <v>149.6</v>
      </c>
      <c r="AS919" s="58" t="n">
        <v>0</v>
      </c>
      <c r="AT919" s="84" t="n">
        <v>8.36</v>
      </c>
      <c r="AU919" s="82" t="n">
        <v>17.9</v>
      </c>
      <c r="AV919" s="82" t="n">
        <v>395</v>
      </c>
      <c r="AW919" s="90" t="n">
        <v>217.25</v>
      </c>
      <c r="AX919" s="82" t="n">
        <v>1</v>
      </c>
      <c r="AY919" s="58" t="n">
        <v>0.15</v>
      </c>
    </row>
    <row r="920" customFormat="false" ht="16.15" hidden="false" customHeight="false" outlineLevel="0" collapsed="false">
      <c r="A920" s="80" t="s">
        <v>274</v>
      </c>
      <c r="B920" s="2" t="s">
        <v>51</v>
      </c>
      <c r="C920" s="81" t="n">
        <v>8.12</v>
      </c>
      <c r="D920" s="82" t="n">
        <v>16.4</v>
      </c>
      <c r="E920" s="82" t="n">
        <v>55.6</v>
      </c>
      <c r="F920" s="82" t="n">
        <v>38.92</v>
      </c>
      <c r="G920" s="82" t="n">
        <v>0.62</v>
      </c>
      <c r="H920" s="82" t="n">
        <v>8.1</v>
      </c>
      <c r="I920" s="82" t="n">
        <v>16.5</v>
      </c>
      <c r="J920" s="83"/>
      <c r="K920" s="83"/>
      <c r="L920" s="82" t="n">
        <v>0.92</v>
      </c>
      <c r="M920" s="82" t="n">
        <v>8.1</v>
      </c>
      <c r="N920" s="82" t="n">
        <v>16.5</v>
      </c>
      <c r="O920" s="83"/>
      <c r="P920" s="83"/>
      <c r="Q920" s="82" t="n">
        <v>0.82</v>
      </c>
      <c r="R920" s="82" t="n">
        <v>8.1</v>
      </c>
      <c r="S920" s="82" t="n">
        <v>16.5</v>
      </c>
      <c r="T920" s="83"/>
      <c r="U920" s="83"/>
      <c r="V920" s="58" t="n">
        <v>0</v>
      </c>
      <c r="W920" s="82" t="n">
        <v>8.09</v>
      </c>
      <c r="X920" s="82" t="n">
        <v>16.5</v>
      </c>
      <c r="Y920" s="83"/>
      <c r="Z920" s="83"/>
      <c r="AA920" s="58" t="n">
        <v>0</v>
      </c>
      <c r="AB920" s="82" t="n">
        <v>8.09</v>
      </c>
      <c r="AC920" s="82" t="n">
        <v>16.6</v>
      </c>
      <c r="AD920" s="93" t="n">
        <v>55.6</v>
      </c>
      <c r="AE920" s="82" t="n">
        <v>38.92</v>
      </c>
      <c r="AF920" s="85"/>
      <c r="AG920" s="58" t="n">
        <v>0</v>
      </c>
      <c r="AH920" s="85"/>
      <c r="AI920" s="82" t="n">
        <v>8.09</v>
      </c>
      <c r="AJ920" s="82" t="n">
        <v>16.6</v>
      </c>
      <c r="AK920" s="82" t="n">
        <v>55.6</v>
      </c>
      <c r="AL920" s="82" t="n">
        <v>38.92</v>
      </c>
      <c r="AM920" s="85"/>
      <c r="AN920" s="58" t="n">
        <v>0</v>
      </c>
      <c r="AO920" s="82" t="n">
        <v>6.59</v>
      </c>
      <c r="AP920" s="82" t="n">
        <v>16.7</v>
      </c>
      <c r="AQ920" s="82" t="n">
        <v>279</v>
      </c>
      <c r="AR920" s="90" t="n">
        <v>153.45</v>
      </c>
      <c r="AS920" s="58" t="n">
        <v>0</v>
      </c>
      <c r="AT920" s="90" t="n">
        <v>8.34</v>
      </c>
      <c r="AU920" s="90" t="n">
        <v>16.8</v>
      </c>
      <c r="AV920" s="90" t="n">
        <v>394</v>
      </c>
      <c r="AW920" s="90" t="n">
        <v>216.7</v>
      </c>
      <c r="AX920" s="90" t="n">
        <v>1</v>
      </c>
      <c r="AY920" s="58" t="n">
        <v>0.09</v>
      </c>
    </row>
    <row r="921" customFormat="false" ht="16.15" hidden="false" customHeight="false" outlineLevel="0" collapsed="false">
      <c r="A921" s="80" t="s">
        <v>274</v>
      </c>
      <c r="B921" s="2" t="s">
        <v>201</v>
      </c>
      <c r="C921" s="86" t="n">
        <v>8.15</v>
      </c>
      <c r="D921" s="82" t="n">
        <v>17</v>
      </c>
      <c r="E921" s="82" t="n">
        <v>55.6</v>
      </c>
      <c r="F921" s="82" t="n">
        <v>38.92</v>
      </c>
      <c r="G921" s="84" t="n">
        <v>0.21</v>
      </c>
      <c r="H921" s="89" t="n">
        <v>8.12</v>
      </c>
      <c r="I921" s="90" t="n">
        <v>16.5</v>
      </c>
      <c r="J921" s="83"/>
      <c r="K921" s="92"/>
      <c r="L921" s="90" t="n">
        <v>0.59</v>
      </c>
      <c r="M921" s="84" t="n">
        <v>8.13</v>
      </c>
      <c r="N921" s="82" t="n">
        <v>16.5</v>
      </c>
      <c r="O921" s="83"/>
      <c r="P921" s="83"/>
      <c r="Q921" s="82" t="n">
        <v>0.43</v>
      </c>
      <c r="R921" s="82" t="n">
        <v>8.1</v>
      </c>
      <c r="S921" s="82" t="n">
        <v>16.4</v>
      </c>
      <c r="T921" s="83"/>
      <c r="U921" s="92"/>
      <c r="V921" s="58" t="n">
        <v>0</v>
      </c>
      <c r="W921" s="84" t="n">
        <v>8.1</v>
      </c>
      <c r="X921" s="82" t="n">
        <v>16.4</v>
      </c>
      <c r="Y921" s="83"/>
      <c r="Z921" s="83"/>
      <c r="AA921" s="58" t="n">
        <v>0</v>
      </c>
      <c r="AB921" s="82" t="n">
        <v>8.11</v>
      </c>
      <c r="AC921" s="82" t="n">
        <v>16.7</v>
      </c>
      <c r="AD921" s="93" t="n">
        <v>55.5</v>
      </c>
      <c r="AE921" s="82" t="n">
        <v>38.85</v>
      </c>
      <c r="AF921" s="85"/>
      <c r="AG921" s="58" t="n">
        <v>0</v>
      </c>
      <c r="AH921" s="85"/>
      <c r="AI921" s="84" t="n">
        <v>8.13</v>
      </c>
      <c r="AJ921" s="82" t="n">
        <v>16.7</v>
      </c>
      <c r="AK921" s="82" t="n">
        <v>55.5</v>
      </c>
      <c r="AL921" s="82" t="n">
        <v>38.85</v>
      </c>
      <c r="AM921" s="85"/>
      <c r="AN921" s="58" t="n">
        <v>0</v>
      </c>
      <c r="AO921" s="84" t="n">
        <v>6.6</v>
      </c>
      <c r="AP921" s="82" t="n">
        <v>17</v>
      </c>
      <c r="AQ921" s="82" t="n">
        <v>274</v>
      </c>
      <c r="AR921" s="90" t="n">
        <v>150.7</v>
      </c>
      <c r="AS921" s="58" t="n">
        <v>0</v>
      </c>
      <c r="AT921" s="84" t="n">
        <v>8.3</v>
      </c>
      <c r="AU921" s="82" t="n">
        <v>17.9</v>
      </c>
      <c r="AV921" s="90" t="n">
        <v>399</v>
      </c>
      <c r="AW921" s="90" t="n">
        <v>219.45</v>
      </c>
      <c r="AX921" s="82" t="n">
        <v>1</v>
      </c>
      <c r="AY921" s="58" t="n">
        <v>0.14</v>
      </c>
    </row>
    <row r="922" customFormat="false" ht="16.15" hidden="false" customHeight="false" outlineLevel="0" collapsed="false">
      <c r="A922" s="80" t="s">
        <v>274</v>
      </c>
      <c r="B922" s="2" t="s">
        <v>258</v>
      </c>
      <c r="C922" s="86" t="n">
        <v>8.15</v>
      </c>
      <c r="D922" s="82" t="n">
        <v>20.4</v>
      </c>
      <c r="E922" s="82" t="n">
        <v>55.5</v>
      </c>
      <c r="F922" s="82" t="n">
        <v>38.85</v>
      </c>
      <c r="G922" s="84" t="n">
        <v>0.28</v>
      </c>
      <c r="H922" s="84" t="n">
        <v>8.1</v>
      </c>
      <c r="I922" s="82" t="n">
        <v>18.2</v>
      </c>
      <c r="J922" s="83"/>
      <c r="K922" s="83"/>
      <c r="L922" s="82" t="n">
        <v>0.64</v>
      </c>
      <c r="M922" s="84" t="n">
        <v>8.09</v>
      </c>
      <c r="N922" s="82" t="n">
        <v>18.2</v>
      </c>
      <c r="O922" s="83"/>
      <c r="P922" s="83"/>
      <c r="Q922" s="82" t="n">
        <v>0.6</v>
      </c>
      <c r="R922" s="84" t="n">
        <v>8.08</v>
      </c>
      <c r="S922" s="82" t="n">
        <v>17.5</v>
      </c>
      <c r="T922" s="83"/>
      <c r="U922" s="83"/>
      <c r="V922" s="58" t="n">
        <v>0.22</v>
      </c>
      <c r="W922" s="84" t="n">
        <v>8.08</v>
      </c>
      <c r="X922" s="82" t="n">
        <v>17.5</v>
      </c>
      <c r="Y922" s="83"/>
      <c r="Z922" s="83"/>
      <c r="AA922" s="58" t="n">
        <v>0.23</v>
      </c>
      <c r="AB922" s="84" t="n">
        <v>8.13</v>
      </c>
      <c r="AC922" s="82" t="n">
        <v>17.7</v>
      </c>
      <c r="AD922" s="82" t="n">
        <v>55.4</v>
      </c>
      <c r="AE922" s="82" t="n">
        <v>38.78</v>
      </c>
      <c r="AF922" s="85"/>
      <c r="AG922" s="58" t="n">
        <v>0</v>
      </c>
      <c r="AH922" s="85"/>
      <c r="AI922" s="84" t="n">
        <v>8.17</v>
      </c>
      <c r="AJ922" s="82" t="n">
        <v>17.4</v>
      </c>
      <c r="AK922" s="82" t="n">
        <v>55.4</v>
      </c>
      <c r="AL922" s="82" t="n">
        <v>38.78</v>
      </c>
      <c r="AM922" s="85"/>
      <c r="AN922" s="58" t="n">
        <v>0</v>
      </c>
      <c r="AO922" s="84" t="n">
        <v>6.8</v>
      </c>
      <c r="AP922" s="82" t="n">
        <v>17.5</v>
      </c>
      <c r="AQ922" s="82" t="n">
        <v>292</v>
      </c>
      <c r="AR922" s="90" t="n">
        <v>160.6</v>
      </c>
      <c r="AS922" s="58" t="n">
        <v>0</v>
      </c>
      <c r="AT922" s="84" t="n">
        <v>8</v>
      </c>
      <c r="AU922" s="82" t="n">
        <v>17.1</v>
      </c>
      <c r="AV922" s="82" t="n">
        <v>552</v>
      </c>
      <c r="AW922" s="90" t="n">
        <v>303.6</v>
      </c>
      <c r="AX922" s="82" t="n">
        <v>1</v>
      </c>
      <c r="AY922" s="58" t="n">
        <v>0.19</v>
      </c>
    </row>
    <row r="923" customFormat="false" ht="16.15" hidden="false" customHeight="false" outlineLevel="0" collapsed="false">
      <c r="A923" s="80" t="s">
        <v>275</v>
      </c>
      <c r="B923" s="2" t="s">
        <v>51</v>
      </c>
      <c r="C923" s="81" t="n">
        <v>8.2</v>
      </c>
      <c r="D923" s="82" t="n">
        <v>17.7</v>
      </c>
      <c r="E923" s="82" t="n">
        <v>55.6</v>
      </c>
      <c r="F923" s="82" t="n">
        <v>38.92</v>
      </c>
      <c r="G923" s="82" t="n">
        <v>0.62</v>
      </c>
      <c r="H923" s="82" t="n">
        <v>8.13</v>
      </c>
      <c r="I923" s="82" t="n">
        <v>17.4</v>
      </c>
      <c r="J923" s="83"/>
      <c r="K923" s="83"/>
      <c r="L923" s="82" t="n">
        <v>0.92</v>
      </c>
      <c r="M923" s="82" t="n">
        <v>8.12</v>
      </c>
      <c r="N923" s="82" t="n">
        <v>17.2</v>
      </c>
      <c r="O923" s="83"/>
      <c r="P923" s="83"/>
      <c r="Q923" s="82" t="n">
        <v>0.82</v>
      </c>
      <c r="R923" s="82" t="n">
        <v>8.1</v>
      </c>
      <c r="S923" s="82" t="n">
        <v>16.6</v>
      </c>
      <c r="T923" s="83"/>
      <c r="U923" s="83"/>
      <c r="V923" s="58" t="n">
        <v>0</v>
      </c>
      <c r="W923" s="82" t="n">
        <v>8.07</v>
      </c>
      <c r="X923" s="82" t="n">
        <v>16.4</v>
      </c>
      <c r="Y923" s="83"/>
      <c r="Z923" s="83"/>
      <c r="AA923" s="58" t="n">
        <v>0</v>
      </c>
      <c r="AB923" s="82" t="n">
        <v>8.06</v>
      </c>
      <c r="AC923" s="82" t="n">
        <v>16.7</v>
      </c>
      <c r="AD923" s="93" t="n">
        <v>55.6</v>
      </c>
      <c r="AE923" s="82" t="n">
        <v>38.92</v>
      </c>
      <c r="AF923" s="85"/>
      <c r="AG923" s="58" t="n">
        <v>0</v>
      </c>
      <c r="AH923" s="85"/>
      <c r="AI923" s="82" t="n">
        <v>8.07</v>
      </c>
      <c r="AJ923" s="82" t="n">
        <v>16.7</v>
      </c>
      <c r="AK923" s="82" t="n">
        <v>55.6</v>
      </c>
      <c r="AL923" s="82" t="n">
        <v>38.92</v>
      </c>
      <c r="AM923" s="85"/>
      <c r="AN923" s="58" t="n">
        <v>0</v>
      </c>
      <c r="AO923" s="82" t="n">
        <v>6.52</v>
      </c>
      <c r="AP923" s="82" t="n">
        <v>17.3</v>
      </c>
      <c r="AQ923" s="82" t="n">
        <v>279</v>
      </c>
      <c r="AR923" s="90" t="n">
        <v>153.45</v>
      </c>
      <c r="AS923" s="58" t="n">
        <v>0</v>
      </c>
      <c r="AT923" s="90" t="n">
        <v>8.21</v>
      </c>
      <c r="AU923" s="90" t="n">
        <v>17</v>
      </c>
      <c r="AV923" s="90" t="n">
        <v>396</v>
      </c>
      <c r="AW923" s="90" t="n">
        <v>217.8</v>
      </c>
      <c r="AX923" s="90" t="n">
        <v>1</v>
      </c>
      <c r="AY923" s="58" t="n">
        <v>0.01</v>
      </c>
    </row>
    <row r="924" customFormat="false" ht="16.15" hidden="false" customHeight="false" outlineLevel="0" collapsed="false">
      <c r="A924" s="80" t="s">
        <v>275</v>
      </c>
      <c r="B924" s="2" t="s">
        <v>201</v>
      </c>
      <c r="C924" s="86" t="n">
        <v>8.2</v>
      </c>
      <c r="D924" s="82" t="n">
        <v>17.9</v>
      </c>
      <c r="E924" s="82" t="n">
        <v>55.4</v>
      </c>
      <c r="F924" s="82" t="n">
        <v>38.78</v>
      </c>
      <c r="G924" s="84" t="n">
        <v>4.42</v>
      </c>
      <c r="H924" s="89" t="n">
        <v>8.24</v>
      </c>
      <c r="I924" s="90" t="n">
        <v>16.8</v>
      </c>
      <c r="J924" s="83"/>
      <c r="K924" s="92"/>
      <c r="L924" s="90" t="n">
        <v>1.9</v>
      </c>
      <c r="M924" s="84" t="n">
        <v>8.25</v>
      </c>
      <c r="N924" s="82" t="n">
        <v>16.9</v>
      </c>
      <c r="O924" s="83"/>
      <c r="P924" s="83"/>
      <c r="Q924" s="82" t="n">
        <v>1.85</v>
      </c>
      <c r="R924" s="82" t="n">
        <v>8.24</v>
      </c>
      <c r="S924" s="82" t="n">
        <v>16.9</v>
      </c>
      <c r="T924" s="83"/>
      <c r="U924" s="92"/>
      <c r="V924" s="58" t="n">
        <v>0</v>
      </c>
      <c r="W924" s="84" t="n">
        <v>8.18</v>
      </c>
      <c r="X924" s="82" t="n">
        <v>17</v>
      </c>
      <c r="Y924" s="83"/>
      <c r="Z924" s="83"/>
      <c r="AA924" s="58" t="n">
        <v>0</v>
      </c>
      <c r="AB924" s="82" t="n">
        <v>8.18</v>
      </c>
      <c r="AC924" s="82" t="n">
        <v>17</v>
      </c>
      <c r="AD924" s="93" t="n">
        <v>55.7</v>
      </c>
      <c r="AE924" s="82" t="n">
        <v>38.99</v>
      </c>
      <c r="AF924" s="85"/>
      <c r="AG924" s="58" t="n">
        <v>0</v>
      </c>
      <c r="AH924" s="85"/>
      <c r="AI924" s="84" t="n">
        <v>8.18</v>
      </c>
      <c r="AJ924" s="82" t="n">
        <v>17</v>
      </c>
      <c r="AK924" s="82" t="n">
        <v>55.7</v>
      </c>
      <c r="AL924" s="82" t="n">
        <v>38.99</v>
      </c>
      <c r="AM924" s="85"/>
      <c r="AN924" s="58" t="n">
        <v>0</v>
      </c>
      <c r="AO924" s="84" t="n">
        <v>6.57</v>
      </c>
      <c r="AP924" s="82" t="n">
        <v>17.4</v>
      </c>
      <c r="AQ924" s="82" t="n">
        <v>272</v>
      </c>
      <c r="AR924" s="90" t="n">
        <v>149.6</v>
      </c>
      <c r="AS924" s="58" t="n">
        <v>0</v>
      </c>
      <c r="AT924" s="84" t="n">
        <v>8.4</v>
      </c>
      <c r="AU924" s="82" t="n">
        <v>18</v>
      </c>
      <c r="AV924" s="90" t="n">
        <v>394</v>
      </c>
      <c r="AW924" s="90" t="n">
        <v>216.7</v>
      </c>
      <c r="AX924" s="82" t="n">
        <v>1</v>
      </c>
      <c r="AY924" s="58" t="n">
        <v>0.03</v>
      </c>
    </row>
    <row r="925" customFormat="false" ht="16.15" hidden="false" customHeight="false" outlineLevel="0" collapsed="false">
      <c r="A925" s="80" t="s">
        <v>275</v>
      </c>
      <c r="B925" s="2" t="s">
        <v>258</v>
      </c>
      <c r="C925" s="86" t="n">
        <v>8.21</v>
      </c>
      <c r="D925" s="82" t="n">
        <v>18.4</v>
      </c>
      <c r="E925" s="82" t="n">
        <v>55.5</v>
      </c>
      <c r="F925" s="82" t="n">
        <v>38.85</v>
      </c>
      <c r="G925" s="84" t="n">
        <v>2.75</v>
      </c>
      <c r="H925" s="84" t="n">
        <v>8.12</v>
      </c>
      <c r="I925" s="82" t="n">
        <v>17.2</v>
      </c>
      <c r="J925" s="83"/>
      <c r="K925" s="83"/>
      <c r="L925" s="82" t="n">
        <v>2.04</v>
      </c>
      <c r="M925" s="84" t="n">
        <v>8.13</v>
      </c>
      <c r="N925" s="82" t="n">
        <v>17.2</v>
      </c>
      <c r="O925" s="83"/>
      <c r="P925" s="83"/>
      <c r="Q925" s="82" t="n">
        <v>2.02</v>
      </c>
      <c r="R925" s="84" t="n">
        <v>8.1</v>
      </c>
      <c r="S925" s="82" t="n">
        <v>16.8</v>
      </c>
      <c r="T925" s="83"/>
      <c r="U925" s="83"/>
      <c r="V925" s="58" t="n">
        <v>0.04</v>
      </c>
      <c r="W925" s="84" t="n">
        <v>8.09</v>
      </c>
      <c r="X925" s="82" t="n">
        <v>16.9</v>
      </c>
      <c r="Y925" s="83"/>
      <c r="Z925" s="83"/>
      <c r="AA925" s="58" t="n">
        <v>0.02</v>
      </c>
      <c r="AB925" s="84" t="n">
        <v>8.08</v>
      </c>
      <c r="AC925" s="82" t="n">
        <v>16.9</v>
      </c>
      <c r="AD925" s="82" t="n">
        <v>55.4</v>
      </c>
      <c r="AE925" s="82" t="n">
        <v>38.78</v>
      </c>
      <c r="AF925" s="85"/>
      <c r="AG925" s="58" t="n">
        <v>0</v>
      </c>
      <c r="AH925" s="85"/>
      <c r="AI925" s="84" t="n">
        <v>8.09</v>
      </c>
      <c r="AJ925" s="82" t="n">
        <v>16.9</v>
      </c>
      <c r="AK925" s="82" t="n">
        <v>55.6</v>
      </c>
      <c r="AL925" s="82" t="n">
        <v>38.92</v>
      </c>
      <c r="AM925" s="85"/>
      <c r="AN925" s="58" t="n">
        <v>0</v>
      </c>
      <c r="AO925" s="84" t="n">
        <v>6.5</v>
      </c>
      <c r="AP925" s="82" t="n">
        <v>17.5</v>
      </c>
      <c r="AQ925" s="82" t="n">
        <v>275</v>
      </c>
      <c r="AR925" s="90" t="n">
        <v>151.25</v>
      </c>
      <c r="AS925" s="58" t="n">
        <v>0</v>
      </c>
      <c r="AT925" s="84" t="n">
        <v>8.32</v>
      </c>
      <c r="AU925" s="82" t="n">
        <v>17.1</v>
      </c>
      <c r="AV925" s="82" t="n">
        <v>395</v>
      </c>
      <c r="AW925" s="90" t="n">
        <v>217.25</v>
      </c>
      <c r="AX925" s="82" t="n">
        <v>1</v>
      </c>
      <c r="AY925" s="58" t="n">
        <v>0.06</v>
      </c>
    </row>
    <row r="926" customFormat="false" ht="16.15" hidden="false" customHeight="false" outlineLevel="0" collapsed="false">
      <c r="A926" s="80" t="s">
        <v>276</v>
      </c>
      <c r="B926" s="2" t="s">
        <v>201</v>
      </c>
      <c r="C926" s="86" t="n">
        <v>8.17</v>
      </c>
      <c r="D926" s="82" t="n">
        <v>17.2</v>
      </c>
      <c r="E926" s="82"/>
      <c r="F926" s="82" t="n">
        <v>0</v>
      </c>
      <c r="G926" s="84" t="n">
        <v>0.62</v>
      </c>
      <c r="H926" s="89" t="n">
        <v>8.12</v>
      </c>
      <c r="I926" s="90" t="n">
        <v>16.51</v>
      </c>
      <c r="J926" s="83"/>
      <c r="K926" s="92"/>
      <c r="L926" s="90" t="n">
        <v>1.11</v>
      </c>
      <c r="M926" s="84" t="n">
        <v>8.14</v>
      </c>
      <c r="N926" s="82" t="n">
        <v>16.4</v>
      </c>
      <c r="O926" s="83"/>
      <c r="P926" s="83"/>
      <c r="Q926" s="82" t="n">
        <v>1.06</v>
      </c>
      <c r="R926" s="82" t="n">
        <v>8.14</v>
      </c>
      <c r="S926" s="82" t="n">
        <v>16.4</v>
      </c>
      <c r="T926" s="83"/>
      <c r="U926" s="92"/>
      <c r="V926" s="58" t="n">
        <v>0.01</v>
      </c>
      <c r="W926" s="84" t="n">
        <v>8.18</v>
      </c>
      <c r="X926" s="82" t="n">
        <v>16.4</v>
      </c>
      <c r="Y926" s="83"/>
      <c r="Z926" s="83"/>
      <c r="AA926" s="58" t="n">
        <v>0.08</v>
      </c>
      <c r="AB926" s="82" t="n">
        <v>8.15</v>
      </c>
      <c r="AC926" s="82" t="n">
        <v>16.7</v>
      </c>
      <c r="AD926" s="93" t="n">
        <v>55.5</v>
      </c>
      <c r="AE926" s="82" t="n">
        <v>38.85</v>
      </c>
      <c r="AF926" s="85"/>
      <c r="AG926" s="58" t="n">
        <v>0</v>
      </c>
      <c r="AH926" s="85"/>
      <c r="AI926" s="84" t="n">
        <v>8.15</v>
      </c>
      <c r="AJ926" s="82" t="n">
        <v>16.7</v>
      </c>
      <c r="AK926" s="82" t="n">
        <v>55.5</v>
      </c>
      <c r="AL926" s="82" t="n">
        <v>38.85</v>
      </c>
      <c r="AM926" s="85"/>
      <c r="AN926" s="58" t="n">
        <v>0</v>
      </c>
      <c r="AO926" s="84" t="n">
        <v>6.89</v>
      </c>
      <c r="AP926" s="82" t="n">
        <v>16.8</v>
      </c>
      <c r="AQ926" s="82" t="n">
        <v>280</v>
      </c>
      <c r="AR926" s="90" t="n">
        <v>154</v>
      </c>
      <c r="AS926" s="58" t="n">
        <v>0</v>
      </c>
      <c r="AT926" s="84" t="n">
        <v>8.44</v>
      </c>
      <c r="AU926" s="82" t="n">
        <v>17.7</v>
      </c>
      <c r="AV926" s="90" t="n">
        <v>417</v>
      </c>
      <c r="AW926" s="90" t="n">
        <v>229.35</v>
      </c>
      <c r="AX926" s="82" t="n">
        <v>1</v>
      </c>
      <c r="AY926" s="58" t="n">
        <v>0</v>
      </c>
    </row>
    <row r="927" customFormat="false" ht="16.15" hidden="false" customHeight="false" outlineLevel="0" collapsed="false">
      <c r="A927" s="80" t="s">
        <v>277</v>
      </c>
      <c r="B927" s="2" t="s">
        <v>51</v>
      </c>
      <c r="C927" s="81" t="n">
        <v>8.17</v>
      </c>
      <c r="D927" s="82" t="n">
        <v>16.1</v>
      </c>
      <c r="E927" s="82" t="n">
        <v>55.5</v>
      </c>
      <c r="F927" s="82" t="n">
        <v>38.85</v>
      </c>
      <c r="G927" s="82" t="n">
        <v>0.67</v>
      </c>
      <c r="H927" s="82" t="n">
        <v>8.15</v>
      </c>
      <c r="I927" s="82" t="n">
        <v>16.3</v>
      </c>
      <c r="J927" s="83"/>
      <c r="K927" s="83"/>
      <c r="L927" s="82" t="n">
        <v>1.02</v>
      </c>
      <c r="M927" s="82" t="n">
        <v>8.15</v>
      </c>
      <c r="N927" s="82" t="n">
        <v>16.3</v>
      </c>
      <c r="O927" s="83"/>
      <c r="P927" s="83"/>
      <c r="Q927" s="82" t="n">
        <v>1.11</v>
      </c>
      <c r="R927" s="82" t="n">
        <v>8.15</v>
      </c>
      <c r="S927" s="82" t="n">
        <v>16.3</v>
      </c>
      <c r="T927" s="83"/>
      <c r="U927" s="83"/>
      <c r="V927" s="58" t="n">
        <v>0</v>
      </c>
      <c r="W927" s="82" t="n">
        <v>8.15</v>
      </c>
      <c r="X927" s="82" t="n">
        <v>16.3</v>
      </c>
      <c r="Y927" s="83"/>
      <c r="Z927" s="83"/>
      <c r="AA927" s="58" t="n">
        <v>0</v>
      </c>
      <c r="AB927" s="82" t="n">
        <v>8.1</v>
      </c>
      <c r="AC927" s="82" t="n">
        <v>16.4</v>
      </c>
      <c r="AD927" s="93" t="n">
        <v>55.5</v>
      </c>
      <c r="AE927" s="82" t="n">
        <v>38.85</v>
      </c>
      <c r="AF927" s="85"/>
      <c r="AG927" s="58" t="n">
        <v>0</v>
      </c>
      <c r="AH927" s="85"/>
      <c r="AI927" s="82" t="n">
        <v>8.1</v>
      </c>
      <c r="AJ927" s="82" t="n">
        <v>16.4</v>
      </c>
      <c r="AK927" s="82" t="n">
        <v>55.5</v>
      </c>
      <c r="AL927" s="82" t="n">
        <v>38.85</v>
      </c>
      <c r="AM927" s="85"/>
      <c r="AN927" s="58" t="n">
        <v>0</v>
      </c>
      <c r="AO927" s="82" t="n">
        <v>6.68</v>
      </c>
      <c r="AP927" s="82" t="n">
        <v>16.4</v>
      </c>
      <c r="AQ927" s="82" t="n">
        <v>250</v>
      </c>
      <c r="AR927" s="90" t="n">
        <v>137.5</v>
      </c>
      <c r="AS927" s="58" t="n">
        <v>0</v>
      </c>
      <c r="AT927" s="90" t="n">
        <v>8.39</v>
      </c>
      <c r="AU927" s="90" t="n">
        <v>16.8</v>
      </c>
      <c r="AV927" s="90" t="n">
        <v>399</v>
      </c>
      <c r="AW927" s="90" t="n">
        <v>219.45</v>
      </c>
      <c r="AX927" s="90" t="n">
        <v>0.9</v>
      </c>
      <c r="AY927" s="58" t="n">
        <v>0</v>
      </c>
    </row>
    <row r="928" customFormat="false" ht="16.15" hidden="false" customHeight="false" outlineLevel="0" collapsed="false">
      <c r="A928" s="80" t="s">
        <v>277</v>
      </c>
      <c r="B928" s="2" t="s">
        <v>201</v>
      </c>
      <c r="C928" s="86" t="n">
        <v>8.15</v>
      </c>
      <c r="D928" s="82" t="n">
        <v>16.9</v>
      </c>
      <c r="E928" s="82" t="n">
        <v>55.9</v>
      </c>
      <c r="F928" s="82" t="n">
        <v>39.13</v>
      </c>
      <c r="G928" s="84" t="n">
        <v>0.49</v>
      </c>
      <c r="H928" s="89" t="n">
        <v>8.16</v>
      </c>
      <c r="I928" s="90" t="n">
        <v>16.4</v>
      </c>
      <c r="J928" s="83"/>
      <c r="K928" s="92"/>
      <c r="L928" s="90" t="n">
        <v>0.78</v>
      </c>
      <c r="M928" s="84" t="n">
        <v>8.17</v>
      </c>
      <c r="N928" s="82" t="n">
        <v>16.3</v>
      </c>
      <c r="O928" s="83"/>
      <c r="P928" s="83"/>
      <c r="Q928" s="82" t="n">
        <v>0.83</v>
      </c>
      <c r="R928" s="82" t="n">
        <v>8.18</v>
      </c>
      <c r="S928" s="82" t="n">
        <v>16.5</v>
      </c>
      <c r="T928" s="83"/>
      <c r="U928" s="92"/>
      <c r="V928" s="58" t="n">
        <v>0</v>
      </c>
      <c r="W928" s="84" t="n">
        <v>8.2</v>
      </c>
      <c r="X928" s="82" t="n">
        <v>16.3</v>
      </c>
      <c r="Y928" s="83"/>
      <c r="Z928" s="83"/>
      <c r="AA928" s="58" t="n">
        <v>0</v>
      </c>
      <c r="AB928" s="82" t="n">
        <v>8.21</v>
      </c>
      <c r="AC928" s="82" t="n">
        <v>16.6</v>
      </c>
      <c r="AD928" s="93" t="n">
        <v>55.9</v>
      </c>
      <c r="AE928" s="82" t="n">
        <v>39.13</v>
      </c>
      <c r="AF928" s="85"/>
      <c r="AG928" s="58" t="n">
        <v>0</v>
      </c>
      <c r="AH928" s="85"/>
      <c r="AI928" s="84" t="n">
        <v>8.23</v>
      </c>
      <c r="AJ928" s="82" t="n">
        <v>16.6</v>
      </c>
      <c r="AK928" s="82" t="n">
        <v>55.9</v>
      </c>
      <c r="AL928" s="82" t="n">
        <v>39.13</v>
      </c>
      <c r="AM928" s="85"/>
      <c r="AN928" s="58" t="n">
        <v>0</v>
      </c>
      <c r="AO928" s="84" t="n">
        <v>6.9</v>
      </c>
      <c r="AP928" s="82" t="n">
        <v>16.9</v>
      </c>
      <c r="AQ928" s="82" t="n">
        <v>279</v>
      </c>
      <c r="AR928" s="90" t="n">
        <v>153.45</v>
      </c>
      <c r="AS928" s="58" t="n">
        <v>0</v>
      </c>
      <c r="AT928" s="84" t="n">
        <v>8.45</v>
      </c>
      <c r="AU928" s="82" t="n">
        <v>17.7</v>
      </c>
      <c r="AV928" s="90" t="n">
        <v>385</v>
      </c>
      <c r="AW928" s="90" t="n">
        <v>211.75</v>
      </c>
      <c r="AX928" s="82" t="n">
        <v>1</v>
      </c>
      <c r="AY928" s="58" t="n">
        <v>0</v>
      </c>
    </row>
    <row r="929" customFormat="false" ht="16.15" hidden="false" customHeight="false" outlineLevel="0" collapsed="false">
      <c r="A929" s="80" t="s">
        <v>277</v>
      </c>
      <c r="B929" s="2" t="s">
        <v>258</v>
      </c>
      <c r="C929" s="86" t="n">
        <v>8.12</v>
      </c>
      <c r="D929" s="82" t="n">
        <v>16.8</v>
      </c>
      <c r="E929" s="82" t="n">
        <v>55.2</v>
      </c>
      <c r="F929" s="82" t="n">
        <v>38.64</v>
      </c>
      <c r="G929" s="84" t="n">
        <v>1.2</v>
      </c>
      <c r="H929" s="84" t="n">
        <v>8.1</v>
      </c>
      <c r="I929" s="82" t="n">
        <v>16.2</v>
      </c>
      <c r="J929" s="83"/>
      <c r="K929" s="83"/>
      <c r="L929" s="82" t="n">
        <v>0.96</v>
      </c>
      <c r="M929" s="84" t="n">
        <v>8.1</v>
      </c>
      <c r="N929" s="82" t="n">
        <v>16.2</v>
      </c>
      <c r="O929" s="83"/>
      <c r="P929" s="83"/>
      <c r="Q929" s="82" t="n">
        <v>0.88</v>
      </c>
      <c r="R929" s="84" t="n">
        <v>8.08</v>
      </c>
      <c r="S929" s="82" t="n">
        <v>16.3</v>
      </c>
      <c r="T929" s="83"/>
      <c r="U929" s="83"/>
      <c r="V929" s="58" t="n">
        <v>0</v>
      </c>
      <c r="W929" s="84" t="n">
        <v>8.08</v>
      </c>
      <c r="X929" s="82" t="n">
        <v>16.3</v>
      </c>
      <c r="Y929" s="83"/>
      <c r="Z929" s="83"/>
      <c r="AA929" s="58" t="n">
        <v>0</v>
      </c>
      <c r="AB929" s="84" t="n">
        <v>8.07</v>
      </c>
      <c r="AC929" s="82" t="n">
        <v>16.4</v>
      </c>
      <c r="AD929" s="82" t="n">
        <v>55.5</v>
      </c>
      <c r="AE929" s="82" t="n">
        <v>38.85</v>
      </c>
      <c r="AF929" s="85"/>
      <c r="AG929" s="58" t="n">
        <v>0</v>
      </c>
      <c r="AH929" s="85"/>
      <c r="AI929" s="21"/>
      <c r="AJ929" s="21"/>
      <c r="AK929" s="21"/>
      <c r="AL929" s="21"/>
      <c r="AM929" s="48"/>
      <c r="AN929" s="21"/>
      <c r="AO929" s="84" t="n">
        <v>6.62</v>
      </c>
      <c r="AP929" s="82" t="n">
        <v>16.8</v>
      </c>
      <c r="AQ929" s="82" t="n">
        <v>290</v>
      </c>
      <c r="AR929" s="90" t="n">
        <v>159.5</v>
      </c>
      <c r="AS929" s="58" t="n">
        <v>0</v>
      </c>
      <c r="AT929" s="84" t="n">
        <v>8.47</v>
      </c>
      <c r="AU929" s="82" t="n">
        <v>17.7</v>
      </c>
      <c r="AV929" s="82" t="n">
        <v>383</v>
      </c>
      <c r="AW929" s="90" t="n">
        <v>210.65</v>
      </c>
      <c r="AX929" s="82"/>
      <c r="AY929" s="58" t="n">
        <v>0</v>
      </c>
    </row>
    <row r="930" customFormat="false" ht="16.15" hidden="false" customHeight="false" outlineLevel="0" collapsed="false">
      <c r="A930" s="80" t="s">
        <v>278</v>
      </c>
      <c r="B930" s="2" t="s">
        <v>51</v>
      </c>
      <c r="C930" s="81" t="n">
        <v>8.17</v>
      </c>
      <c r="D930" s="82" t="n">
        <v>16.2</v>
      </c>
      <c r="E930" s="82" t="n">
        <v>55.6</v>
      </c>
      <c r="F930" s="82" t="n">
        <v>38.92</v>
      </c>
      <c r="G930" s="82" t="n">
        <v>0.99</v>
      </c>
      <c r="H930" s="82" t="n">
        <v>8.15</v>
      </c>
      <c r="I930" s="82" t="n">
        <v>16.5</v>
      </c>
      <c r="J930" s="83"/>
      <c r="K930" s="83"/>
      <c r="L930" s="82" t="n">
        <v>0.8</v>
      </c>
      <c r="M930" s="82" t="n">
        <v>8.15</v>
      </c>
      <c r="N930" s="82" t="n">
        <v>16.5</v>
      </c>
      <c r="O930" s="83"/>
      <c r="P930" s="83"/>
      <c r="Q930" s="82" t="n">
        <v>0.7</v>
      </c>
      <c r="R930" s="82" t="n">
        <v>8.15</v>
      </c>
      <c r="S930" s="82" t="n">
        <v>16.4</v>
      </c>
      <c r="T930" s="83"/>
      <c r="U930" s="83"/>
      <c r="V930" s="58" t="n">
        <v>0</v>
      </c>
      <c r="W930" s="82" t="n">
        <v>8.13</v>
      </c>
      <c r="X930" s="82" t="n">
        <v>16.4</v>
      </c>
      <c r="Y930" s="83"/>
      <c r="Z930" s="83"/>
      <c r="AA930" s="58" t="n">
        <v>0</v>
      </c>
      <c r="AB930" s="82" t="n">
        <v>8.13</v>
      </c>
      <c r="AC930" s="82" t="n">
        <v>16.4</v>
      </c>
      <c r="AD930" s="93" t="n">
        <v>55.5</v>
      </c>
      <c r="AE930" s="82" t="n">
        <v>38.85</v>
      </c>
      <c r="AF930" s="85"/>
      <c r="AG930" s="58" t="n">
        <v>0</v>
      </c>
      <c r="AH930" s="85"/>
      <c r="AI930" s="82" t="n">
        <v>8.1</v>
      </c>
      <c r="AJ930" s="82" t="n">
        <v>16.4</v>
      </c>
      <c r="AK930" s="82" t="n">
        <v>55.5</v>
      </c>
      <c r="AL930" s="82" t="n">
        <v>38.85</v>
      </c>
      <c r="AM930" s="85"/>
      <c r="AN930" s="58" t="n">
        <v>0</v>
      </c>
      <c r="AO930" s="82" t="n">
        <v>6.72</v>
      </c>
      <c r="AP930" s="82" t="n">
        <v>16.6</v>
      </c>
      <c r="AQ930" s="82" t="n">
        <v>250</v>
      </c>
      <c r="AR930" s="90" t="n">
        <v>137.5</v>
      </c>
      <c r="AS930" s="58" t="n">
        <v>0</v>
      </c>
      <c r="AT930" s="90" t="n">
        <v>8.22</v>
      </c>
      <c r="AU930" s="90" t="n">
        <v>17.4</v>
      </c>
      <c r="AV930" s="90" t="n">
        <v>416</v>
      </c>
      <c r="AW930" s="90" t="n">
        <v>228.8</v>
      </c>
      <c r="AX930" s="90" t="n">
        <v>1</v>
      </c>
      <c r="AY930" s="58" t="n">
        <v>0</v>
      </c>
    </row>
    <row r="931" customFormat="false" ht="16.15" hidden="false" customHeight="false" outlineLevel="0" collapsed="false">
      <c r="A931" s="80" t="s">
        <v>278</v>
      </c>
      <c r="B931" s="2" t="s">
        <v>201</v>
      </c>
      <c r="C931" s="86" t="n">
        <v>8.15</v>
      </c>
      <c r="D931" s="82" t="n">
        <v>16.9</v>
      </c>
      <c r="E931" s="82" t="n">
        <v>55.6</v>
      </c>
      <c r="F931" s="82" t="n">
        <v>38.92</v>
      </c>
      <c r="G931" s="84" t="n">
        <v>0.98</v>
      </c>
      <c r="H931" s="89" t="n">
        <v>8.16</v>
      </c>
      <c r="I931" s="90" t="n">
        <v>16.4</v>
      </c>
      <c r="J931" s="83"/>
      <c r="K931" s="92"/>
      <c r="L931" s="90" t="n">
        <v>0.92</v>
      </c>
      <c r="M931" s="84" t="n">
        <v>8.17</v>
      </c>
      <c r="N931" s="82" t="n">
        <v>16.3</v>
      </c>
      <c r="O931" s="83"/>
      <c r="P931" s="83"/>
      <c r="Q931" s="82" t="n">
        <v>0.75</v>
      </c>
      <c r="R931" s="82" t="n">
        <v>8.18</v>
      </c>
      <c r="S931" s="82" t="n">
        <v>16.5</v>
      </c>
      <c r="T931" s="83"/>
      <c r="U931" s="92"/>
      <c r="V931" s="58" t="n">
        <v>0</v>
      </c>
      <c r="W931" s="84" t="n">
        <v>8.2</v>
      </c>
      <c r="X931" s="82" t="n">
        <v>16.3</v>
      </c>
      <c r="Y931" s="83"/>
      <c r="Z931" s="83"/>
      <c r="AA931" s="58" t="n">
        <v>0</v>
      </c>
      <c r="AB931" s="82" t="n">
        <v>8.21</v>
      </c>
      <c r="AC931" s="82" t="n">
        <v>16.6</v>
      </c>
      <c r="AD931" s="82" t="n">
        <v>55.6</v>
      </c>
      <c r="AE931" s="82" t="n">
        <v>38.92</v>
      </c>
      <c r="AF931" s="85"/>
      <c r="AG931" s="58" t="n">
        <v>0</v>
      </c>
      <c r="AH931" s="85"/>
      <c r="AI931" s="84" t="n">
        <v>8.23</v>
      </c>
      <c r="AJ931" s="82" t="n">
        <v>16.6</v>
      </c>
      <c r="AK931" s="82" t="n">
        <v>55.6</v>
      </c>
      <c r="AL931" s="82" t="n">
        <v>38.92</v>
      </c>
      <c r="AM931" s="85"/>
      <c r="AN931" s="58" t="n">
        <v>0</v>
      </c>
      <c r="AO931" s="84" t="n">
        <v>6.9</v>
      </c>
      <c r="AP931" s="82" t="n">
        <v>16.9</v>
      </c>
      <c r="AQ931" s="82" t="n">
        <v>279</v>
      </c>
      <c r="AR931" s="90" t="n">
        <v>153.45</v>
      </c>
      <c r="AS931" s="58" t="n">
        <v>0</v>
      </c>
      <c r="AT931" s="84" t="n">
        <v>8.39</v>
      </c>
      <c r="AU931" s="82" t="n">
        <v>17.4</v>
      </c>
      <c r="AV931" s="90" t="n">
        <v>385</v>
      </c>
      <c r="AW931" s="90" t="n">
        <v>211.75</v>
      </c>
      <c r="AX931" s="82" t="n">
        <v>1</v>
      </c>
      <c r="AY931" s="58" t="n">
        <v>0.07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2025-03-30T01:02:00Z</dcterms:created>
  <dc:creator>Lenovo</dc:creator>
  <dc:description/>
  <dc:language>en-US</dc:language>
  <cp:lastModifiedBy/>
  <dcterms:modified xsi:type="dcterms:W3CDTF">2026-04-03T08:40:20Z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A5761C3D20B448A080652F64E2016BB2_12</vt:lpwstr>
  </property>
  <property fmtid="{D5CDD505-2E9C-101B-9397-08002B2CF9AE}" pid="3" name="KSOProductBuildVer">
    <vt:lpwstr>1036-12.2.0.20795</vt:lpwstr>
  </property>
</Properties>
</file>